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Corhuila\repos_2026-a\modelado-gestion-bases-datos-2026-a-g1\03-week\01-session\"/>
    </mc:Choice>
  </mc:AlternateContent>
  <xr:revisionPtr revIDLastSave="0" documentId="13_ncr:1_{1B832271-395A-4694-94F5-949F7942D2D1}" xr6:coauthVersionLast="47" xr6:coauthVersionMax="47" xr10:uidLastSave="{00000000-0000-0000-0000-000000000000}"/>
  <bookViews>
    <workbookView xWindow="-108" yWindow="-108" windowWidth="23256" windowHeight="13896" activeTab="1" xr2:uid="{93EFB1C5-0B07-420B-A959-5C1DE2F57151}"/>
  </bookViews>
  <sheets>
    <sheet name="estudiante" sheetId="1" r:id="rId1"/>
    <sheet name="matricula" sheetId="3" r:id="rId2"/>
    <sheet name="grupo" sheetId="4" r:id="rId3"/>
    <sheet name="asignatura" sheetId="5" r:id="rId4"/>
    <sheet name="model" sheetId="2" r:id="rId5"/>
  </sheets>
  <definedNames>
    <definedName name="_xlnm._FilterDatabase" localSheetId="2" hidden="1">grupo!$A$1:$E$21</definedName>
    <definedName name="dato_asignatura">asignatura!$A$2:$F$51</definedName>
    <definedName name="dato_grupo">grupo!$A$2:$E$21</definedName>
    <definedName name="grupo_id">grupo!$A$2:$A$21</definedName>
    <definedName name="nombre_estudiante">estudiante!$D$2:$D$51</definedName>
    <definedName name="nombre_materia">asignatura!$B$2:$B$51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</calcChain>
</file>

<file path=xl/sharedStrings.xml><?xml version="1.0" encoding="utf-8"?>
<sst xmlns="http://schemas.openxmlformats.org/spreadsheetml/2006/main" count="531" uniqueCount="292">
  <si>
    <t>tipo_documento</t>
  </si>
  <si>
    <t>documento</t>
  </si>
  <si>
    <t>nombre</t>
  </si>
  <si>
    <t>codigo</t>
  </si>
  <si>
    <t>correo</t>
  </si>
  <si>
    <t>programa</t>
  </si>
  <si>
    <t>estudiante</t>
  </si>
  <si>
    <t>varchar(20)</t>
  </si>
  <si>
    <t>varchar(12)</t>
  </si>
  <si>
    <t>varchar(50)</t>
  </si>
  <si>
    <t>fecha</t>
  </si>
  <si>
    <t>estado</t>
  </si>
  <si>
    <t>estudiante_id</t>
  </si>
  <si>
    <t>date</t>
  </si>
  <si>
    <t>boolean</t>
  </si>
  <si>
    <t>periodo</t>
  </si>
  <si>
    <t>horario</t>
  </si>
  <si>
    <t>docente</t>
  </si>
  <si>
    <t>grupo</t>
  </si>
  <si>
    <t>grupo_id</t>
  </si>
  <si>
    <t>credito</t>
  </si>
  <si>
    <t>semestre</t>
  </si>
  <si>
    <t>area</t>
  </si>
  <si>
    <t>asignatura</t>
  </si>
  <si>
    <t>int</t>
  </si>
  <si>
    <t>asignatura_id</t>
  </si>
  <si>
    <t>matricula</t>
  </si>
  <si>
    <t>CC</t>
  </si>
  <si>
    <t>Juan Pablo Gómez</t>
  </si>
  <si>
    <t>jpgomez1@correo.com</t>
  </si>
  <si>
    <t>Ingeniería de Sistemas</t>
  </si>
  <si>
    <t>María Fernanda López</t>
  </si>
  <si>
    <t>mflopez2@correo.com</t>
  </si>
  <si>
    <t>Ingeniería Multimedia</t>
  </si>
  <si>
    <t>Carlos Andrés Martínez</t>
  </si>
  <si>
    <t>cmartinez3@correo.com</t>
  </si>
  <si>
    <t>Administración de Empresas</t>
  </si>
  <si>
    <t>Laura Sofía Rodríguez</t>
  </si>
  <si>
    <t>lrodriguez4@correo.com</t>
  </si>
  <si>
    <t>Contaduría Pública</t>
  </si>
  <si>
    <t>Andrés Felipe Torres</t>
  </si>
  <si>
    <t>atorres5@correo.com</t>
  </si>
  <si>
    <t>Ingeniería Industrial</t>
  </si>
  <si>
    <t>Natalia Jiménez</t>
  </si>
  <si>
    <t>njimenez6@correo.com</t>
  </si>
  <si>
    <t>Derecho</t>
  </si>
  <si>
    <t>Santiago Ramírez</t>
  </si>
  <si>
    <t>sramirez7@correo.com</t>
  </si>
  <si>
    <t>Psicología</t>
  </si>
  <si>
    <t>Valentina Herrera</t>
  </si>
  <si>
    <t>vherrera8@correo.com</t>
  </si>
  <si>
    <t>Arquitectura</t>
  </si>
  <si>
    <t>Daniel Castro</t>
  </si>
  <si>
    <t>dcastro9@correo.com</t>
  </si>
  <si>
    <t>Ingeniería Civil</t>
  </si>
  <si>
    <t>Camila Vargas</t>
  </si>
  <si>
    <t>cvargas10@correo.com</t>
  </si>
  <si>
    <t>Marketing Digital</t>
  </si>
  <si>
    <t>José Manuel Rojas</t>
  </si>
  <si>
    <t>jrojas11@correo.com</t>
  </si>
  <si>
    <t>Paula Andrea Díaz</t>
  </si>
  <si>
    <t>pdiaz12@correo.com</t>
  </si>
  <si>
    <t>Luis Alberto Morales</t>
  </si>
  <si>
    <t>lmorales13@correo.com</t>
  </si>
  <si>
    <t>Carolina Sánchez</t>
  </si>
  <si>
    <t>csanchez14@correo.com</t>
  </si>
  <si>
    <t>Felipe Castillo</t>
  </si>
  <si>
    <t>fcastillo15@correo.com</t>
  </si>
  <si>
    <t>Diana Patricia León</t>
  </si>
  <si>
    <t>dleon16@correo.com</t>
  </si>
  <si>
    <t>Juan Sebastián Pérez</t>
  </si>
  <si>
    <t>jperez17@correo.com</t>
  </si>
  <si>
    <t>Laura Camila Ortiz</t>
  </si>
  <si>
    <t>lortiz18@correo.com</t>
  </si>
  <si>
    <t>Miguel Ángel Navarro</t>
  </si>
  <si>
    <t>mnavarro19@correo.com</t>
  </si>
  <si>
    <t>Valeria Medina</t>
  </si>
  <si>
    <t>vmedina20@correo.com</t>
  </si>
  <si>
    <t>Jorge Elías Romero</t>
  </si>
  <si>
    <t>jromero21@correo.com</t>
  </si>
  <si>
    <t>Andrea Milena Cruz</t>
  </si>
  <si>
    <t>acruz22@correo.com</t>
  </si>
  <si>
    <t>Kevin Andrés Silva</t>
  </si>
  <si>
    <t>ksilva23@correo.com</t>
  </si>
  <si>
    <t>Sofía Alejandra Núñez</t>
  </si>
  <si>
    <t>snunez24@correo.com</t>
  </si>
  <si>
    <t>Cristian David Peña</t>
  </si>
  <si>
    <t>cpena25@correo.com</t>
  </si>
  <si>
    <t>Mariana Rincón</t>
  </si>
  <si>
    <t>mrincon26@correo.com</t>
  </si>
  <si>
    <t>Sebastián Quintero</t>
  </si>
  <si>
    <t>squintero27@correo.com</t>
  </si>
  <si>
    <t>Laura Juliana Mejía</t>
  </si>
  <si>
    <t>lmejia28@correo.com</t>
  </si>
  <si>
    <t>Juan David Cárdenas</t>
  </si>
  <si>
    <t>jcardenas29@correo.com</t>
  </si>
  <si>
    <t>Valentina Pardo</t>
  </si>
  <si>
    <t>vpardo30@correo.com</t>
  </si>
  <si>
    <t>Esteban Guerrero</t>
  </si>
  <si>
    <t>eguerrero31@correo.com</t>
  </si>
  <si>
    <t>Camilo Andrés Ruiz</t>
  </si>
  <si>
    <t>cruiz32@correo.com</t>
  </si>
  <si>
    <t>Paola Fernández</t>
  </si>
  <si>
    <t>pfernandez33@correo.com</t>
  </si>
  <si>
    <t>Jhonatan Salazar</t>
  </si>
  <si>
    <t>jsalazar34@correo.com</t>
  </si>
  <si>
    <t>Natalia Beltrán</t>
  </si>
  <si>
    <t>nbeltran35@correo.com</t>
  </si>
  <si>
    <t>David Alejandro Parra</t>
  </si>
  <si>
    <t>dparra36@correo.com</t>
  </si>
  <si>
    <t>María Camila Soto</t>
  </si>
  <si>
    <t>msoto37@correo.com</t>
  </si>
  <si>
    <t>Santiago Lozano</t>
  </si>
  <si>
    <t>slozano38@correo.com</t>
  </si>
  <si>
    <t>Juan Esteban Molina</t>
  </si>
  <si>
    <t>jmolina39@correo.com</t>
  </si>
  <si>
    <t>Laura Daniela Cabrera</t>
  </si>
  <si>
    <t>lcabrera40@correo.com</t>
  </si>
  <si>
    <t>Cristina Valencia</t>
  </si>
  <si>
    <t>cvalencia41@correo.com</t>
  </si>
  <si>
    <t>Andrés Mauricio Gil</t>
  </si>
  <si>
    <t>agil42@correo.com</t>
  </si>
  <si>
    <t>Valeria Ospina</t>
  </si>
  <si>
    <t>vospina43@correo.com</t>
  </si>
  <si>
    <t>Julián Arboleda</t>
  </si>
  <si>
    <t>jarboleda44@correo.com</t>
  </si>
  <si>
    <t>Laura Paola Reyes</t>
  </si>
  <si>
    <t>lreyes45@correo.com</t>
  </si>
  <si>
    <t>Miguel Torres</t>
  </si>
  <si>
    <t>mtorres46@correo.com</t>
  </si>
  <si>
    <t>Carolina Montoya</t>
  </si>
  <si>
    <t>cmontoya47@correo.com</t>
  </si>
  <si>
    <t>Daniel Roldán</t>
  </si>
  <si>
    <t>droldan48@correo.com</t>
  </si>
  <si>
    <t>Sofía Gómez</t>
  </si>
  <si>
    <t>sgomez49@correo.com</t>
  </si>
  <si>
    <t>Juan Camilo Vargas</t>
  </si>
  <si>
    <t>jvargas50@correo.com</t>
  </si>
  <si>
    <t>ASG101</t>
  </si>
  <si>
    <t>Matemáticas I</t>
  </si>
  <si>
    <t>Básica</t>
  </si>
  <si>
    <t>ASG102</t>
  </si>
  <si>
    <t>Programación I</t>
  </si>
  <si>
    <t>Profesional</t>
  </si>
  <si>
    <t>ASG103</t>
  </si>
  <si>
    <t>Introducción a la Ingeniería</t>
  </si>
  <si>
    <t>Básica Profesional</t>
  </si>
  <si>
    <t>ASG104</t>
  </si>
  <si>
    <t>Comunicación Oral y Escrita</t>
  </si>
  <si>
    <t>Desarrollo Humano</t>
  </si>
  <si>
    <t>ASG105</t>
  </si>
  <si>
    <t>Lógica Matemática</t>
  </si>
  <si>
    <t>ASG106</t>
  </si>
  <si>
    <t>Matemáticas II</t>
  </si>
  <si>
    <t>ASG107</t>
  </si>
  <si>
    <t>Programación II</t>
  </si>
  <si>
    <t>ASG108</t>
  </si>
  <si>
    <t>Física I</t>
  </si>
  <si>
    <t>ASG109</t>
  </si>
  <si>
    <t>Arquitectura de Computadores</t>
  </si>
  <si>
    <t>ASG110</t>
  </si>
  <si>
    <t>Ética Profesional</t>
  </si>
  <si>
    <t>ASG111</t>
  </si>
  <si>
    <t>Estructuras de Datos</t>
  </si>
  <si>
    <t>ASG112</t>
  </si>
  <si>
    <t>Base de Datos I</t>
  </si>
  <si>
    <t>Profesional Específica</t>
  </si>
  <si>
    <t>ASG113</t>
  </si>
  <si>
    <t>Física II</t>
  </si>
  <si>
    <t>ASG114</t>
  </si>
  <si>
    <t>Cálculo Diferencial</t>
  </si>
  <si>
    <t>ASG115</t>
  </si>
  <si>
    <t>Inglés I</t>
  </si>
  <si>
    <t>Electiva</t>
  </si>
  <si>
    <t>ASG116</t>
  </si>
  <si>
    <t>Base de Datos II</t>
  </si>
  <si>
    <t>ASG117</t>
  </si>
  <si>
    <t>Programación Orientada a Objetos</t>
  </si>
  <si>
    <t>ASG118</t>
  </si>
  <si>
    <t>Cálculo Integral</t>
  </si>
  <si>
    <t>ASG119</t>
  </si>
  <si>
    <t>Sistemas Operativos</t>
  </si>
  <si>
    <t>ASG120</t>
  </si>
  <si>
    <t>Inglés II</t>
  </si>
  <si>
    <t>ASG121</t>
  </si>
  <si>
    <t>Ingeniería de Requerimientos</t>
  </si>
  <si>
    <t>ASG122</t>
  </si>
  <si>
    <t>Arquitectura de Software</t>
  </si>
  <si>
    <t>ASG123</t>
  </si>
  <si>
    <t>Redes de Computadores</t>
  </si>
  <si>
    <t>ASG124</t>
  </si>
  <si>
    <t>Probabilidad y Estadística</t>
  </si>
  <si>
    <t>ASG125</t>
  </si>
  <si>
    <t>Emprendimiento</t>
  </si>
  <si>
    <t>ASG126</t>
  </si>
  <si>
    <t>Desarrollo Web I</t>
  </si>
  <si>
    <t>ASG127</t>
  </si>
  <si>
    <t>Desarrollo Web II</t>
  </si>
  <si>
    <t>ASG128</t>
  </si>
  <si>
    <t>Seguridad Informática</t>
  </si>
  <si>
    <t>ASG129</t>
  </si>
  <si>
    <t>Investigación I</t>
  </si>
  <si>
    <t>Investigación</t>
  </si>
  <si>
    <t>ASG130</t>
  </si>
  <si>
    <t>Optativa I</t>
  </si>
  <si>
    <t>ASG131</t>
  </si>
  <si>
    <t>Inteligencia Artificial</t>
  </si>
  <si>
    <t>ASG132</t>
  </si>
  <si>
    <t>Aprendizaje Automático</t>
  </si>
  <si>
    <t>ASG133</t>
  </si>
  <si>
    <t>Computación en la Nube</t>
  </si>
  <si>
    <t>ASG134</t>
  </si>
  <si>
    <t>Gestión de Proyectos TI</t>
  </si>
  <si>
    <t>ASG135</t>
  </si>
  <si>
    <t>Investigación II</t>
  </si>
  <si>
    <t>ASG136</t>
  </si>
  <si>
    <t>DevOps</t>
  </si>
  <si>
    <t>ASG137</t>
  </si>
  <si>
    <t>Cloud Computing</t>
  </si>
  <si>
    <t>ASG138</t>
  </si>
  <si>
    <t>Analítica de Datos</t>
  </si>
  <si>
    <t>ASG139</t>
  </si>
  <si>
    <t>Modelado de Sistemas</t>
  </si>
  <si>
    <t>ASG140</t>
  </si>
  <si>
    <t>Optativa II</t>
  </si>
  <si>
    <t>ASG141</t>
  </si>
  <si>
    <t>Proyecto Integrador I</t>
  </si>
  <si>
    <t>ASG142</t>
  </si>
  <si>
    <t>Proyecto Integrador II</t>
  </si>
  <si>
    <t>ASG143</t>
  </si>
  <si>
    <t>Auditoría de Sistemas</t>
  </si>
  <si>
    <t>ASG144</t>
  </si>
  <si>
    <t>Gobierno de TI</t>
  </si>
  <si>
    <t>ASG145</t>
  </si>
  <si>
    <t>Práctica Empresarial I</t>
  </si>
  <si>
    <t>ASG146</t>
  </si>
  <si>
    <t>Trabajo de Grado I</t>
  </si>
  <si>
    <t>ASG147</t>
  </si>
  <si>
    <t>Trabajo de Grado II</t>
  </si>
  <si>
    <t>ASG148</t>
  </si>
  <si>
    <t>Tendencias Tecnológicas</t>
  </si>
  <si>
    <t>ASG149</t>
  </si>
  <si>
    <t>Bioinformática</t>
  </si>
  <si>
    <t>ASG150</t>
  </si>
  <si>
    <t>Práctica Empresarial II</t>
  </si>
  <si>
    <t>GRP001</t>
  </si>
  <si>
    <t>2026A</t>
  </si>
  <si>
    <t>Lunes 6:00-8:00</t>
  </si>
  <si>
    <t>Jesús Ariel González</t>
  </si>
  <si>
    <t>GRP002</t>
  </si>
  <si>
    <t>Martes 8:00-10:00</t>
  </si>
  <si>
    <t>Luis Ángel Vargas</t>
  </si>
  <si>
    <t>GRP003</t>
  </si>
  <si>
    <t>Miércoles 6:00-9:00</t>
  </si>
  <si>
    <t>Cindy Ramírez</t>
  </si>
  <si>
    <t>GRP004</t>
  </si>
  <si>
    <t>Jueves 7:00-9:00</t>
  </si>
  <si>
    <t>Juan Sebastián Zambrano</t>
  </si>
  <si>
    <t>GRP005</t>
  </si>
  <si>
    <t>Viernes 6:00-8:00</t>
  </si>
  <si>
    <t>José Miguel Llanos</t>
  </si>
  <si>
    <t>GRP006</t>
  </si>
  <si>
    <t>Sábado 8:00-12:00</t>
  </si>
  <si>
    <t>GRP007</t>
  </si>
  <si>
    <t>Lunes 8:00-10:00</t>
  </si>
  <si>
    <t>Carlos Martínez</t>
  </si>
  <si>
    <t>GRP008</t>
  </si>
  <si>
    <t>Martes 6:00-9:00</t>
  </si>
  <si>
    <t>Andrea Cruz</t>
  </si>
  <si>
    <t>GRP009</t>
  </si>
  <si>
    <t>Miércoles 7:00-9:00</t>
  </si>
  <si>
    <t>Kevin Silva</t>
  </si>
  <si>
    <t>GRP010</t>
  </si>
  <si>
    <t>Jueves 6:00-8:00</t>
  </si>
  <si>
    <t>GRP011</t>
  </si>
  <si>
    <t>2026B</t>
  </si>
  <si>
    <t>GRP012</t>
  </si>
  <si>
    <t>Diana León</t>
  </si>
  <si>
    <t>GRP013</t>
  </si>
  <si>
    <t>Miércoles 6:00-8:00</t>
  </si>
  <si>
    <t>GRP014</t>
  </si>
  <si>
    <t>Laura Cabrera</t>
  </si>
  <si>
    <t>GRP015</t>
  </si>
  <si>
    <t>Viernes 6:00-9:00</t>
  </si>
  <si>
    <t>GRP016</t>
  </si>
  <si>
    <t>Sábado 8:00-11:00</t>
  </si>
  <si>
    <t>GRP017</t>
  </si>
  <si>
    <t>GRP018</t>
  </si>
  <si>
    <t>Martes 6:00-8:00</t>
  </si>
  <si>
    <t>GRP019</t>
  </si>
  <si>
    <t>GRP020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</si>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</sst>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0" borderId="1" xfId="0" applyFont="1" applyBorder="1"/>
    <xf numFmtId="0" fontId="0" fillId="8" borderId="1" xfId="0" applyFill="1" applyBorder="1"/>
    <xf numFmtId="0" fontId="0" fillId="0" borderId="1" xfId="0" applyFont="1" applyBorder="1" applyAlignment="1">
      <alignment horizontal="center"/>
    </xf>
    <xf numFmtId="0" fontId="0" fillId="8" borderId="1" xfId="0" applyFont="1" applyFill="1" applyBorder="1"/>
    <xf numFmtId="0" fontId="0" fillId="8" borderId="1" xfId="0" applyFon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676068</xdr:colOff>
      <xdr:row>1</xdr:row>
      <xdr:rowOff>15909</xdr:rowOff>
    </xdr:from>
    <xdr:to>
      <xdr:col>5</xdr:col>
      <xdr:colOff>595430</xdr:colOff>
      <xdr:row>2</xdr:row>
      <xdr:rowOff>99139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5AE6267-DA87-C802-007D-B161DAA9F3A7}"/>
                </a:ext>
              </a:extLst>
            </xdr14:cNvPr>
            <xdr14:cNvContentPartPr/>
          </xdr14:nvContentPartPr>
          <xdr14:nvPr macro=""/>
          <xdr14:xfrm>
            <a:off x="2903040" y="198360"/>
            <a:ext cx="1234080" cy="2656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5AE6267-DA87-C802-007D-B161DAA9F3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885040" y="180360"/>
              <a:ext cx="126972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692268</xdr:colOff>
      <xdr:row>1</xdr:row>
      <xdr:rowOff>10869</xdr:rowOff>
    </xdr:from>
    <xdr:to>
      <xdr:col>4</xdr:col>
      <xdr:colOff>248856</xdr:colOff>
      <xdr:row>1</xdr:row>
      <xdr:rowOff>60189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9F5B872-16F0-AF60-B179-4B9D50D17FBC}"/>
                </a:ext>
              </a:extLst>
            </xdr14:cNvPr>
            <xdr14:cNvContentPartPr/>
          </xdr14:nvContentPartPr>
          <xdr14:nvPr macro=""/>
          <xdr14:xfrm>
            <a:off x="2919240" y="193320"/>
            <a:ext cx="259560" cy="493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9F5B872-16F0-AF60-B179-4B9D50D17FB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901240" y="175680"/>
              <a:ext cx="295200" cy="849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91225</xdr:colOff>
      <xdr:row>1</xdr:row>
      <xdr:rowOff>64395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A1F69F-B4E9-FB61-4F93-2AC8719E4AA7}"/>
            </a:ext>
          </a:extLst>
        </xdr:cNvPr>
        <xdr:cNvSpPr txBox="1"/>
      </xdr:nvSpPr>
      <xdr:spPr>
        <a:xfrm>
          <a:off x="3021169" y="246846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</a:t>
          </a:r>
        </a:p>
      </xdr:txBody>
    </xdr:sp>
    <xdr:clientData/>
  </xdr:oneCellAnchor>
  <xdr:oneCellAnchor>
    <xdr:from>
      <xdr:col>5</xdr:col>
      <xdr:colOff>340217</xdr:colOff>
      <xdr:row>0</xdr:row>
      <xdr:rowOff>152400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2BC15F-4A99-4F88-8617-42372252A467}"/>
            </a:ext>
          </a:extLst>
        </xdr:cNvPr>
        <xdr:cNvSpPr txBox="1"/>
      </xdr:nvSpPr>
      <xdr:spPr>
        <a:xfrm>
          <a:off x="3881907" y="152400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</a:t>
          </a:r>
        </a:p>
      </xdr:txBody>
    </xdr:sp>
    <xdr:clientData/>
  </xdr:oneCellAnchor>
  <xdr:twoCellAnchor editAs="oneCell">
    <xdr:from>
      <xdr:col>7</xdr:col>
      <xdr:colOff>697538</xdr:colOff>
      <xdr:row>3</xdr:row>
      <xdr:rowOff>63928</xdr:rowOff>
    </xdr:from>
    <xdr:to>
      <xdr:col>9</xdr:col>
      <xdr:colOff>263414</xdr:colOff>
      <xdr:row>3</xdr:row>
      <xdr:rowOff>102808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979A671-3D57-41AD-25B5-4D14C9EE81E9}"/>
                </a:ext>
              </a:extLst>
            </xdr14:cNvPr>
            <xdr14:cNvContentPartPr/>
          </xdr14:nvContentPartPr>
          <xdr14:nvPr macro=""/>
          <xdr14:xfrm>
            <a:off x="5704200" y="611280"/>
            <a:ext cx="885960" cy="3888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979A671-3D57-41AD-25B5-4D14C9EE81E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686200" y="593280"/>
              <a:ext cx="92160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208334</xdr:colOff>
      <xdr:row>1</xdr:row>
      <xdr:rowOff>112389</xdr:rowOff>
    </xdr:from>
    <xdr:to>
      <xdr:col>9</xdr:col>
      <xdr:colOff>589934</xdr:colOff>
      <xdr:row>3</xdr:row>
      <xdr:rowOff>48448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F58E3A57-1038-7ACF-EABA-CF4415D02CBE}"/>
                </a:ext>
              </a:extLst>
            </xdr14:cNvPr>
            <xdr14:cNvContentPartPr/>
          </xdr14:nvContentPartPr>
          <xdr14:nvPr macro=""/>
          <xdr14:xfrm>
            <a:off x="6535080" y="294840"/>
            <a:ext cx="381600" cy="3009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58E3A57-1038-7ACF-EABA-CF4415D02CB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517440" y="276840"/>
              <a:ext cx="417240" cy="33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707978</xdr:colOff>
      <xdr:row>3</xdr:row>
      <xdr:rowOff>117928</xdr:rowOff>
    </xdr:from>
    <xdr:to>
      <xdr:col>8</xdr:col>
      <xdr:colOff>0</xdr:colOff>
      <xdr:row>3</xdr:row>
      <xdr:rowOff>118288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9AA1B99-2A91-B39F-B01F-00AB2EE4E18E}"/>
                </a:ext>
              </a:extLst>
            </xdr14:cNvPr>
            <xdr14:cNvContentPartPr/>
          </xdr14:nvContentPartPr>
          <xdr14:nvPr macro=""/>
          <xdr14:xfrm>
            <a:off x="5714640" y="665280"/>
            <a:ext cx="360" cy="3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9AA1B99-2A91-B39F-B01F-00AB2EE4E18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697000" y="6472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8</xdr:col>
      <xdr:colOff>39710</xdr:colOff>
      <xdr:row>1</xdr:row>
      <xdr:rowOff>141669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3569E9-121E-48B8-BA2D-7DAEC95099FD}"/>
            </a:ext>
          </a:extLst>
        </xdr:cNvPr>
        <xdr:cNvSpPr txBox="1"/>
      </xdr:nvSpPr>
      <xdr:spPr>
        <a:xfrm>
          <a:off x="5754710" y="324120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</a:t>
          </a:r>
        </a:p>
      </xdr:txBody>
    </xdr:sp>
    <xdr:clientData/>
  </xdr:oneCellAnchor>
  <xdr:oneCellAnchor>
    <xdr:from>
      <xdr:col>9</xdr:col>
      <xdr:colOff>272603</xdr:colOff>
      <xdr:row>0</xdr:row>
      <xdr:rowOff>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76CD0DE-7648-4C46-A1D3-B06E51F81EB3}"/>
            </a:ext>
          </a:extLst>
        </xdr:cNvPr>
        <xdr:cNvSpPr txBox="1"/>
      </xdr:nvSpPr>
      <xdr:spPr>
        <a:xfrm>
          <a:off x="6599349" y="0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</a:t>
          </a:r>
        </a:p>
      </xdr:txBody>
    </xdr:sp>
    <xdr:clientData/>
  </xdr:oneCellAnchor>
  <xdr:twoCellAnchor editAs="oneCell">
    <xdr:from>
      <xdr:col>12</xdr:col>
      <xdr:colOff>31121</xdr:colOff>
      <xdr:row>5</xdr:row>
      <xdr:rowOff>43546</xdr:rowOff>
    </xdr:from>
    <xdr:to>
      <xdr:col>12</xdr:col>
      <xdr:colOff>339281</xdr:colOff>
      <xdr:row>10</xdr:row>
      <xdr:rowOff>96813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DE4DB2B-31A5-A8F9-DC87-04D74959B6F5}"/>
                </a:ext>
              </a:extLst>
            </xdr14:cNvPr>
            <xdr14:cNvContentPartPr/>
          </xdr14:nvContentPartPr>
          <xdr14:nvPr macro=""/>
          <xdr14:xfrm>
            <a:off x="8343360" y="955800"/>
            <a:ext cx="308160" cy="96552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DE4DB2B-31A5-A8F9-DC87-04D74959B6F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325360" y="937800"/>
              <a:ext cx="343800" cy="10011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12</xdr:col>
      <xdr:colOff>1073</xdr:colOff>
      <xdr:row>8</xdr:row>
      <xdr:rowOff>120202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C96FBA1-7414-47EF-AB33-4582E222B9CC}"/>
            </a:ext>
          </a:extLst>
        </xdr:cNvPr>
        <xdr:cNvSpPr txBox="1"/>
      </xdr:nvSpPr>
      <xdr:spPr>
        <a:xfrm>
          <a:off x="8313312" y="1579808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</a:t>
          </a:r>
        </a:p>
      </xdr:txBody>
    </xdr:sp>
    <xdr:clientData/>
  </xdr:oneCellAnchor>
  <xdr:oneCellAnchor>
    <xdr:from>
      <xdr:col>12</xdr:col>
      <xdr:colOff>8585</xdr:colOff>
      <xdr:row>3</xdr:row>
      <xdr:rowOff>127715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DD7FAC5-014B-47D5-92F1-EA7CF53CC695}"/>
            </a:ext>
          </a:extLst>
        </xdr:cNvPr>
        <xdr:cNvSpPr txBox="1"/>
      </xdr:nvSpPr>
      <xdr:spPr>
        <a:xfrm>
          <a:off x="8320824" y="675067"/>
          <a:ext cx="25616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</a:t>
          </a:r>
        </a:p>
      </xdr:txBody>
    </xdr:sp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48:08.39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0 224 9830,'4'0'203,"0"-1"-1,-1 0 1,1 0-1,-1 0 1,1-1 0,-1 1-1,6-4 1,13-5 201,204-65 4368,-204 70-4198,-1 1 0,28-1-1,-4 0 277,-17 2-54,1-1-1,-1-2 1,0-1-1,48-18 1,-63 20-432,0 1 1,0 0-1,1 1 1,24-2-1,-21 3 41,-1-1 0,26-7 1,-18 5-406,0 1 0,0 0 0,0 2 0,0 0 0,0 2 0,30 4 0,17-2 0,422-2 0,-374 15 0,267-16 0,-372 1 0,0-2 0,0 0 0,0-1 0,14-5 0,-14 4 0,0 1 0,1 0 0,24-2 0,288 6 0,-325-1 0,-1 0 0,1 0 0,-1 1 0,1-1 0,-1 0 0,1 1 0,-1-1 0,1 1 0,-1 0 0,0-1 0,1 1 0,-1 0 0,0 0 0,0 0 0,1 0 0,-1 0 0,0 0 0,0 0 0,0 0 0,0 1 0,0-1 0,-1 0 0,1 1 0,0-1 0,0 0 0,-1 1 0,1-1 0,-1 1 0,0-1 0,1 1 0,-1-1 0,0 1 0,0-1 0,0 3 0,1 9 0,0 0 0,-2-1 0,-1 19 0,-1-3 0,3 286 0,2-291 0,2 1 0,0-1 0,1 0 0,10 28 0,-5-17 0,-8-28 0,1 6 0,0 1 0,1-1 0,1 0 0,0-1 0,10 19 0,-14-29 0,1 1 0,-1-1 0,0 0 0,0 0 0,1 0 0,-1 0 0,0 0 0,1 0 0,-1-1 0,1 1 0,-1 0 0,1-1 0,0 1 0,-1-1 0,1 1 0,-1-1 0,1 0 0,0 0 0,-1 1 0,1-1 0,0-1 0,0 1 0,-1 0 0,4-1 0,3-1 0,0-1 0,-1 1 0,1-2 0,7-3 0,18-7 0,143-16 0,-140 26 0,-26 4 0,1-1 0,-1-1 0,0 1 0,0-2 0,11-3 0,-1 0 0,2 1 0,-1 2 0,0 0 0,1 1 0,-1 1 0,1 0 0,28 5 0,16-2 0,-41-1 0,45 8 0,-61-8 0,4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48:12.54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0 134 9830,'44'1'1313,"-29"0"-943,0 0 0,0-1 0,0-1 0,0 0 0,0-1-1,0 0 1,0-1 0,26-10 0,46-16 1655,-72 23-1685,-1 1 1,1 1-1,0 1 1,0 0-1,1 1 0,-1 0 1,1 1-1,16 2 1,31-3 822,-45-1-678,0-1-1,0 0 0,-1-1 1,1-1-1,29-15 0,-28 13-65,-16 6-334,0 1 1,0 0-1,0 0 1,1 0 0,-1 1-1,0-1 1,1 1 0,-1 0-1,1 0 1,-1 0 0,5 1-1,-7-1-57,0 0-1,-1 0 0,1 0 0,0 1 0,-1-1 0,1 0 1,0 1-1,-1-1 0,1 0 0,-1 1 0,1-1 0,0 1 1,-1-1-1,1 1 0,-1-1 0,0 1 0,1-1 0,-1 1 1,1-1-1,-1 1 0,0 0 0,1 0 0,-1 1 4,0-1-1,0 0 1,0 1-1,0-1 1,0 1 0,0-1-1,0 1 1,0-1-1,-1 0 1,1 1-1,-1-1 1,1 0 0,-1 1-1,1-1 1,-2 2-1,-2 3-28,0 0-1,0 0 0,0-1 1,0 0-1,-1 0 0,0 0 1,0 0-1,0-1 0,-1 0 1,0 0-1,1 0 0,-1-1 1,-1 0-1,1 0 0,0 0 1,-1-1-1,1 0 0,-10 2 1,-4-1-3,0-1 1,0 0 0,0-2-1,0 0 1,-22-3 0,-5-4 0,29 4 0,1 0 0,-20 1 0,-42 1 0,-81 3 0,98 12 0,52-13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51:46.44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0 106 9830,'83'1'2136,"89"-2"935,-117-6-1956,-29 3-260,42-1 0,-48 4-74,39-7 1,-20 2-48,21-1 1178,66 0-1,144-5 321,-227 9-2232,58 4 0,30-2 0,-83-6 0,-31 4 0,0 0 0,20 1 0,-1 2 0,1-2 0,43-7 0,-57 6 0,1 2 0,43 2 0,24-2 0,-43-6 0,-32 4 0,0 0 0,23 0 0,483 4 0,-433 13-1639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52:04.5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107 836 9830,'-1'-9'0,"-1"1"0,0-1 0,0 1 0,-1-1 0,0 1 0,0 0 0,-6-10 0,1 1 0,7 17 0,-8-19 0,0 0 0,1 0 0,1-1 0,1 0 0,0-1 0,2 0 0,0 1 0,0-25 0,-10-120 0,13 67 0,3-87 0,-2 183 29,1 1 1,-1-1-1,1 1 0,-1-1 0,1 1 0,-1 0 1,1-1-1,0 1 0,-1-1 0,1 1 0,0 0 1,0 0-1,0 0 0,0-1 0,0 1 1,1 0-1,-1 0 0,0 0 0,0 1 0,1-1 1,-1 0-1,3-1 0,39-10 1148,-17 5-728,-7 2 11,1 1 0,0 1 1,-1 0-1,1 2 0,0 0 1,37 5-1,5-2 687,10-1 186,79-3 1448,-62-12-871,-65 9-1203,0 0 0,48-1 0,211 7 865,-271-1-1572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52:06.28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9830,'0'0'0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01:58:48.767"/>
    </inkml:context>
    <inkml:brush xml:id="br0">
      <inkml:brushProperty name="width" value="0.1" units="cm"/>
      <inkml:brushProperty name="height" value="0.1" units="cm"/>
      <inkml:brushProperty name="color" value="#AB008B"/>
    </inkml:brush>
  </inkml:definitions>
  <inkml:trace contextRef="#ctx0" brushRef="#br0">3 2681 9830,'20'-1'671,"-1"-1"-1,1-2 1,-1 0 0,20-7-1,29-5 315,1-1 335,-52 12-851,1 0-1,-1 2 1,1 0-1,31-1 1,324 5 6357,-370-1-6807,-1 0-1,1 0 0,-1 0 1,1 0-1,-1-1 0,1 1 1,-1-1-1,1 0 1,-1 1-1,0-1 0,1 0 1,-1 0-1,0-1 0,0 1 1,1 0-1,-1-1 0,0 1 1,0-1-1,-1 0 0,1 0 1,0 1-1,-1-1 1,1 0-1,-1-1 0,2-1 1,0-4-206,0 0 1,-1 0-1,0 0 1,0 0-1,0-1 1,-1-11 0,14-77-1715,-8 65 994,-2-1 1,1-49-1,-6 40 159,1 22 293,-1 1 0,-1-1 0,0 1-1,-1 0 1,-2-1 0,-8-29 0,-35-101-2528,35 110 2000,5 16 257,-16-36 1,13 35 710,-12-49 1,18 59 15,-4-30 92,6 34-58,0 0 0,0 0 0,-1 1 0,-6-17 1,4 13-43,0 1 0,1-1 0,0 0 0,1-1 0,-2-21 1,2-77-24,4 75 6,-7-56 1,-12-98-37,0-108-30,18-84 89,-1 365 1,-6-37 0,0 12 0,-8-20 0,11 52 0,1 0 0,0-1 0,1 1 0,-2-23 0,4 31 63,1-1-1,-1 1 1,-1 0-1,1 0 1,-1 0 0,1 0-1,-1 0 1,-1 0-1,-1-4 1,3 7-41,-1-1 1,0 1-1,0 1 0,0-1 1,0 0-1,0 0 1,-1 0-1,1 1 0,0-1 1,0 0-1,0 1 1,-1-1-1,1 1 0,0-1 1,-1 1-1,1 0 0,0 0 1,-1 0-1,1-1 1,0 1-1,-1 0 0,1 1 1,-1-1-1,1 0 1,0 0-1,-1 0 0,1 1 1,0-1-1,0 1 0,-3 0 1,-28 7 562,20-6-213,1 1-1,-1 1 0,-16 6 0,12-4 94,0 0 0,0-2 0,-1 0 0,-24 3 0,-14 3 760,35-7-736,-1-1 0,1 0 0,-1-2 1,-25-2-1,-44 2 1161,51 11-877,31-9-727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1B87-272E-47C5-BFBD-F5EAE3F751CB}">
  <dimension ref="A1:F51"/>
  <sheetViews>
    <sheetView zoomScale="157" workbookViewId="0">
      <selection activeCell="D2" sqref="D2:D51"/>
    </sheetView>
  </sheetViews>
  <sheetFormatPr defaultRowHeight="14.4" x14ac:dyDescent="0.3"/>
  <cols>
    <col min="1" max="1" width="11" customWidth="1"/>
    <col min="2" max="2" width="14.6640625" bestFit="1" customWidth="1"/>
    <col min="3" max="3" width="11.44140625" bestFit="1" customWidth="1"/>
    <col min="4" max="4" width="19.5546875" customWidth="1"/>
    <col min="5" max="5" width="23.44140625" bestFit="1" customWidth="1"/>
    <col min="6" max="6" width="24.5546875" bestFit="1" customWidth="1"/>
  </cols>
  <sheetData>
    <row r="1" spans="1:6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3">
      <c r="A2" s="12">
        <v>1001</v>
      </c>
      <c r="B2" s="12" t="s">
        <v>27</v>
      </c>
      <c r="C2" s="12">
        <v>1023456789</v>
      </c>
      <c r="D2" s="12" t="s">
        <v>28</v>
      </c>
      <c r="E2" s="12" t="s">
        <v>29</v>
      </c>
      <c r="F2" s="12" t="s">
        <v>30</v>
      </c>
    </row>
    <row r="3" spans="1:6" x14ac:dyDescent="0.3">
      <c r="A3" s="12">
        <v>1002</v>
      </c>
      <c r="B3" s="12" t="s">
        <v>27</v>
      </c>
      <c r="C3" s="12">
        <v>1023456790</v>
      </c>
      <c r="D3" s="12" t="s">
        <v>31</v>
      </c>
      <c r="E3" s="12" t="s">
        <v>32</v>
      </c>
      <c r="F3" s="12" t="s">
        <v>33</v>
      </c>
    </row>
    <row r="4" spans="1:6" x14ac:dyDescent="0.3">
      <c r="A4" s="12">
        <v>1003</v>
      </c>
      <c r="B4" s="12" t="s">
        <v>27</v>
      </c>
      <c r="C4" s="12">
        <v>1023456791</v>
      </c>
      <c r="D4" s="12" t="s">
        <v>34</v>
      </c>
      <c r="E4" s="12" t="s">
        <v>35</v>
      </c>
      <c r="F4" s="12" t="s">
        <v>36</v>
      </c>
    </row>
    <row r="5" spans="1:6" x14ac:dyDescent="0.3">
      <c r="A5" s="12">
        <v>1004</v>
      </c>
      <c r="B5" s="12" t="s">
        <v>27</v>
      </c>
      <c r="C5" s="12">
        <v>1023456792</v>
      </c>
      <c r="D5" s="12" t="s">
        <v>37</v>
      </c>
      <c r="E5" s="12" t="s">
        <v>38</v>
      </c>
      <c r="F5" s="12" t="s">
        <v>39</v>
      </c>
    </row>
    <row r="6" spans="1:6" x14ac:dyDescent="0.3">
      <c r="A6" s="12">
        <v>1005</v>
      </c>
      <c r="B6" s="12" t="s">
        <v>27</v>
      </c>
      <c r="C6" s="12">
        <v>1023456793</v>
      </c>
      <c r="D6" s="12" t="s">
        <v>40</v>
      </c>
      <c r="E6" s="12" t="s">
        <v>41</v>
      </c>
      <c r="F6" s="12" t="s">
        <v>42</v>
      </c>
    </row>
    <row r="7" spans="1:6" x14ac:dyDescent="0.3">
      <c r="A7" s="12">
        <v>1006</v>
      </c>
      <c r="B7" s="12" t="s">
        <v>27</v>
      </c>
      <c r="C7" s="12">
        <v>1023456794</v>
      </c>
      <c r="D7" s="12" t="s">
        <v>43</v>
      </c>
      <c r="E7" s="12" t="s">
        <v>44</v>
      </c>
      <c r="F7" s="12" t="s">
        <v>45</v>
      </c>
    </row>
    <row r="8" spans="1:6" x14ac:dyDescent="0.3">
      <c r="A8" s="12">
        <v>1007</v>
      </c>
      <c r="B8" s="12" t="s">
        <v>27</v>
      </c>
      <c r="C8" s="12">
        <v>1023456795</v>
      </c>
      <c r="D8" s="12" t="s">
        <v>46</v>
      </c>
      <c r="E8" s="12" t="s">
        <v>47</v>
      </c>
      <c r="F8" s="12" t="s">
        <v>48</v>
      </c>
    </row>
    <row r="9" spans="1:6" x14ac:dyDescent="0.3">
      <c r="A9" s="12">
        <v>1008</v>
      </c>
      <c r="B9" s="12" t="s">
        <v>27</v>
      </c>
      <c r="C9" s="12">
        <v>1023456796</v>
      </c>
      <c r="D9" s="12" t="s">
        <v>49</v>
      </c>
      <c r="E9" s="12" t="s">
        <v>50</v>
      </c>
      <c r="F9" s="12" t="s">
        <v>51</v>
      </c>
    </row>
    <row r="10" spans="1:6" x14ac:dyDescent="0.3">
      <c r="A10" s="12">
        <v>1009</v>
      </c>
      <c r="B10" s="12" t="s">
        <v>27</v>
      </c>
      <c r="C10" s="12">
        <v>1023456797</v>
      </c>
      <c r="D10" s="12" t="s">
        <v>52</v>
      </c>
      <c r="E10" s="12" t="s">
        <v>53</v>
      </c>
      <c r="F10" s="12" t="s">
        <v>54</v>
      </c>
    </row>
    <row r="11" spans="1:6" x14ac:dyDescent="0.3">
      <c r="A11" s="12">
        <v>1010</v>
      </c>
      <c r="B11" s="12" t="s">
        <v>27</v>
      </c>
      <c r="C11" s="12">
        <v>1023456798</v>
      </c>
      <c r="D11" s="12" t="s">
        <v>55</v>
      </c>
      <c r="E11" s="12" t="s">
        <v>56</v>
      </c>
      <c r="F11" s="12" t="s">
        <v>57</v>
      </c>
    </row>
    <row r="12" spans="1:6" x14ac:dyDescent="0.3">
      <c r="A12" s="12">
        <v>1011</v>
      </c>
      <c r="B12" s="12" t="s">
        <v>27</v>
      </c>
      <c r="C12" s="12">
        <v>1023456799</v>
      </c>
      <c r="D12" s="12" t="s">
        <v>58</v>
      </c>
      <c r="E12" s="12" t="s">
        <v>59</v>
      </c>
      <c r="F12" s="12" t="s">
        <v>30</v>
      </c>
    </row>
    <row r="13" spans="1:6" x14ac:dyDescent="0.3">
      <c r="A13" s="12">
        <v>1012</v>
      </c>
      <c r="B13" s="12" t="s">
        <v>27</v>
      </c>
      <c r="C13" s="12">
        <v>1023456800</v>
      </c>
      <c r="D13" s="12" t="s">
        <v>60</v>
      </c>
      <c r="E13" s="12" t="s">
        <v>61</v>
      </c>
      <c r="F13" s="12" t="s">
        <v>33</v>
      </c>
    </row>
    <row r="14" spans="1:6" x14ac:dyDescent="0.3">
      <c r="A14" s="12">
        <v>1013</v>
      </c>
      <c r="B14" s="12" t="s">
        <v>27</v>
      </c>
      <c r="C14" s="12">
        <v>1023456801</v>
      </c>
      <c r="D14" s="12" t="s">
        <v>62</v>
      </c>
      <c r="E14" s="12" t="s">
        <v>63</v>
      </c>
      <c r="F14" s="12" t="s">
        <v>36</v>
      </c>
    </row>
    <row r="15" spans="1:6" x14ac:dyDescent="0.3">
      <c r="A15" s="12">
        <v>1014</v>
      </c>
      <c r="B15" s="12" t="s">
        <v>27</v>
      </c>
      <c r="C15" s="12">
        <v>1023456802</v>
      </c>
      <c r="D15" s="12" t="s">
        <v>64</v>
      </c>
      <c r="E15" s="12" t="s">
        <v>65</v>
      </c>
      <c r="F15" s="12" t="s">
        <v>39</v>
      </c>
    </row>
    <row r="16" spans="1:6" x14ac:dyDescent="0.3">
      <c r="A16" s="12">
        <v>1015</v>
      </c>
      <c r="B16" s="12" t="s">
        <v>27</v>
      </c>
      <c r="C16" s="12">
        <v>1023456803</v>
      </c>
      <c r="D16" s="12" t="s">
        <v>66</v>
      </c>
      <c r="E16" s="12" t="s">
        <v>67</v>
      </c>
      <c r="F16" s="12" t="s">
        <v>42</v>
      </c>
    </row>
    <row r="17" spans="1:6" x14ac:dyDescent="0.3">
      <c r="A17" s="12">
        <v>1016</v>
      </c>
      <c r="B17" s="12" t="s">
        <v>27</v>
      </c>
      <c r="C17" s="12">
        <v>1023456804</v>
      </c>
      <c r="D17" s="12" t="s">
        <v>68</v>
      </c>
      <c r="E17" s="12" t="s">
        <v>69</v>
      </c>
      <c r="F17" s="12" t="s">
        <v>45</v>
      </c>
    </row>
    <row r="18" spans="1:6" x14ac:dyDescent="0.3">
      <c r="A18" s="12">
        <v>1017</v>
      </c>
      <c r="B18" s="12" t="s">
        <v>27</v>
      </c>
      <c r="C18" s="12">
        <v>1023456805</v>
      </c>
      <c r="D18" s="12" t="s">
        <v>70</v>
      </c>
      <c r="E18" s="12" t="s">
        <v>71</v>
      </c>
      <c r="F18" s="12" t="s">
        <v>48</v>
      </c>
    </row>
    <row r="19" spans="1:6" x14ac:dyDescent="0.3">
      <c r="A19" s="12">
        <v>1018</v>
      </c>
      <c r="B19" s="12" t="s">
        <v>27</v>
      </c>
      <c r="C19" s="12">
        <v>1023456806</v>
      </c>
      <c r="D19" s="12" t="s">
        <v>72</v>
      </c>
      <c r="E19" s="12" t="s">
        <v>73</v>
      </c>
      <c r="F19" s="12" t="s">
        <v>51</v>
      </c>
    </row>
    <row r="20" spans="1:6" x14ac:dyDescent="0.3">
      <c r="A20" s="12">
        <v>1019</v>
      </c>
      <c r="B20" s="12" t="s">
        <v>27</v>
      </c>
      <c r="C20" s="12">
        <v>1023456807</v>
      </c>
      <c r="D20" s="12" t="s">
        <v>74</v>
      </c>
      <c r="E20" s="12" t="s">
        <v>75</v>
      </c>
      <c r="F20" s="12" t="s">
        <v>54</v>
      </c>
    </row>
    <row r="21" spans="1:6" x14ac:dyDescent="0.3">
      <c r="A21" s="12">
        <v>1020</v>
      </c>
      <c r="B21" s="12" t="s">
        <v>27</v>
      </c>
      <c r="C21" s="12">
        <v>1023456808</v>
      </c>
      <c r="D21" s="12" t="s">
        <v>76</v>
      </c>
      <c r="E21" s="12" t="s">
        <v>77</v>
      </c>
      <c r="F21" s="12" t="s">
        <v>57</v>
      </c>
    </row>
    <row r="22" spans="1:6" x14ac:dyDescent="0.3">
      <c r="A22" s="12">
        <v>1021</v>
      </c>
      <c r="B22" s="12" t="s">
        <v>27</v>
      </c>
      <c r="C22" s="12">
        <v>1023456809</v>
      </c>
      <c r="D22" s="12" t="s">
        <v>78</v>
      </c>
      <c r="E22" s="12" t="s">
        <v>79</v>
      </c>
      <c r="F22" s="12" t="s">
        <v>30</v>
      </c>
    </row>
    <row r="23" spans="1:6" x14ac:dyDescent="0.3">
      <c r="A23" s="12">
        <v>1022</v>
      </c>
      <c r="B23" s="12" t="s">
        <v>27</v>
      </c>
      <c r="C23" s="12">
        <v>1023456810</v>
      </c>
      <c r="D23" s="12" t="s">
        <v>80</v>
      </c>
      <c r="E23" s="12" t="s">
        <v>81</v>
      </c>
      <c r="F23" s="12" t="s">
        <v>33</v>
      </c>
    </row>
    <row r="24" spans="1:6" x14ac:dyDescent="0.3">
      <c r="A24" s="12">
        <v>1023</v>
      </c>
      <c r="B24" s="12" t="s">
        <v>27</v>
      </c>
      <c r="C24" s="12">
        <v>1023456811</v>
      </c>
      <c r="D24" s="12" t="s">
        <v>82</v>
      </c>
      <c r="E24" s="12" t="s">
        <v>83</v>
      </c>
      <c r="F24" s="12" t="s">
        <v>36</v>
      </c>
    </row>
    <row r="25" spans="1:6" x14ac:dyDescent="0.3">
      <c r="A25" s="12">
        <v>1024</v>
      </c>
      <c r="B25" s="12" t="s">
        <v>27</v>
      </c>
      <c r="C25" s="12">
        <v>1023456812</v>
      </c>
      <c r="D25" s="12" t="s">
        <v>84</v>
      </c>
      <c r="E25" s="12" t="s">
        <v>85</v>
      </c>
      <c r="F25" s="12" t="s">
        <v>39</v>
      </c>
    </row>
    <row r="26" spans="1:6" x14ac:dyDescent="0.3">
      <c r="A26" s="12">
        <v>1025</v>
      </c>
      <c r="B26" s="12" t="s">
        <v>27</v>
      </c>
      <c r="C26" s="12">
        <v>1023456813</v>
      </c>
      <c r="D26" s="12" t="s">
        <v>86</v>
      </c>
      <c r="E26" s="12" t="s">
        <v>87</v>
      </c>
      <c r="F26" s="12" t="s">
        <v>42</v>
      </c>
    </row>
    <row r="27" spans="1:6" x14ac:dyDescent="0.3">
      <c r="A27" s="12">
        <v>1026</v>
      </c>
      <c r="B27" s="12" t="s">
        <v>27</v>
      </c>
      <c r="C27" s="12">
        <v>1023456814</v>
      </c>
      <c r="D27" s="12" t="s">
        <v>88</v>
      </c>
      <c r="E27" s="12" t="s">
        <v>89</v>
      </c>
      <c r="F27" s="12" t="s">
        <v>45</v>
      </c>
    </row>
    <row r="28" spans="1:6" x14ac:dyDescent="0.3">
      <c r="A28" s="12">
        <v>1027</v>
      </c>
      <c r="B28" s="12" t="s">
        <v>27</v>
      </c>
      <c r="C28" s="12">
        <v>1023456815</v>
      </c>
      <c r="D28" s="12" t="s">
        <v>90</v>
      </c>
      <c r="E28" s="12" t="s">
        <v>91</v>
      </c>
      <c r="F28" s="12" t="s">
        <v>48</v>
      </c>
    </row>
    <row r="29" spans="1:6" x14ac:dyDescent="0.3">
      <c r="A29" s="12">
        <v>1028</v>
      </c>
      <c r="B29" s="12" t="s">
        <v>27</v>
      </c>
      <c r="C29" s="12">
        <v>1023456816</v>
      </c>
      <c r="D29" s="12" t="s">
        <v>92</v>
      </c>
      <c r="E29" s="12" t="s">
        <v>93</v>
      </c>
      <c r="F29" s="12" t="s">
        <v>51</v>
      </c>
    </row>
    <row r="30" spans="1:6" x14ac:dyDescent="0.3">
      <c r="A30" s="12">
        <v>1029</v>
      </c>
      <c r="B30" s="12" t="s">
        <v>27</v>
      </c>
      <c r="C30" s="12">
        <v>1023456817</v>
      </c>
      <c r="D30" s="12" t="s">
        <v>94</v>
      </c>
      <c r="E30" s="12" t="s">
        <v>95</v>
      </c>
      <c r="F30" s="12" t="s">
        <v>54</v>
      </c>
    </row>
    <row r="31" spans="1:6" x14ac:dyDescent="0.3">
      <c r="A31" s="12">
        <v>1030</v>
      </c>
      <c r="B31" s="12" t="s">
        <v>27</v>
      </c>
      <c r="C31" s="12">
        <v>1023456818</v>
      </c>
      <c r="D31" s="12" t="s">
        <v>96</v>
      </c>
      <c r="E31" s="12" t="s">
        <v>97</v>
      </c>
      <c r="F31" s="12" t="s">
        <v>57</v>
      </c>
    </row>
    <row r="32" spans="1:6" x14ac:dyDescent="0.3">
      <c r="A32" s="12">
        <v>1031</v>
      </c>
      <c r="B32" s="12" t="s">
        <v>27</v>
      </c>
      <c r="C32" s="12">
        <v>1023456819</v>
      </c>
      <c r="D32" s="12" t="s">
        <v>98</v>
      </c>
      <c r="E32" s="12" t="s">
        <v>99</v>
      </c>
      <c r="F32" s="12" t="s">
        <v>30</v>
      </c>
    </row>
    <row r="33" spans="1:6" x14ac:dyDescent="0.3">
      <c r="A33" s="12">
        <v>1032</v>
      </c>
      <c r="B33" s="12" t="s">
        <v>27</v>
      </c>
      <c r="C33" s="12">
        <v>1023456820</v>
      </c>
      <c r="D33" s="12" t="s">
        <v>100</v>
      </c>
      <c r="E33" s="12" t="s">
        <v>101</v>
      </c>
      <c r="F33" s="12" t="s">
        <v>33</v>
      </c>
    </row>
    <row r="34" spans="1:6" x14ac:dyDescent="0.3">
      <c r="A34" s="12">
        <v>1033</v>
      </c>
      <c r="B34" s="12" t="s">
        <v>27</v>
      </c>
      <c r="C34" s="12">
        <v>1023456821</v>
      </c>
      <c r="D34" s="12" t="s">
        <v>102</v>
      </c>
      <c r="E34" s="12" t="s">
        <v>103</v>
      </c>
      <c r="F34" s="12" t="s">
        <v>36</v>
      </c>
    </row>
    <row r="35" spans="1:6" x14ac:dyDescent="0.3">
      <c r="A35" s="12">
        <v>1034</v>
      </c>
      <c r="B35" s="12" t="s">
        <v>27</v>
      </c>
      <c r="C35" s="12">
        <v>1023456822</v>
      </c>
      <c r="D35" s="12" t="s">
        <v>104</v>
      </c>
      <c r="E35" s="12" t="s">
        <v>105</v>
      </c>
      <c r="F35" s="12" t="s">
        <v>39</v>
      </c>
    </row>
    <row r="36" spans="1:6" x14ac:dyDescent="0.3">
      <c r="A36" s="12">
        <v>1035</v>
      </c>
      <c r="B36" s="12" t="s">
        <v>27</v>
      </c>
      <c r="C36" s="12">
        <v>1023456823</v>
      </c>
      <c r="D36" s="12" t="s">
        <v>106</v>
      </c>
      <c r="E36" s="12" t="s">
        <v>107</v>
      </c>
      <c r="F36" s="12" t="s">
        <v>42</v>
      </c>
    </row>
    <row r="37" spans="1:6" x14ac:dyDescent="0.3">
      <c r="A37" s="12">
        <v>1036</v>
      </c>
      <c r="B37" s="12" t="s">
        <v>27</v>
      </c>
      <c r="C37" s="12">
        <v>1023456824</v>
      </c>
      <c r="D37" s="12" t="s">
        <v>108</v>
      </c>
      <c r="E37" s="12" t="s">
        <v>109</v>
      </c>
      <c r="F37" s="12" t="s">
        <v>45</v>
      </c>
    </row>
    <row r="38" spans="1:6" x14ac:dyDescent="0.3">
      <c r="A38" s="12">
        <v>1037</v>
      </c>
      <c r="B38" s="12" t="s">
        <v>27</v>
      </c>
      <c r="C38" s="12">
        <v>1023456825</v>
      </c>
      <c r="D38" s="12" t="s">
        <v>110</v>
      </c>
      <c r="E38" s="12" t="s">
        <v>111</v>
      </c>
      <c r="F38" s="12" t="s">
        <v>48</v>
      </c>
    </row>
    <row r="39" spans="1:6" x14ac:dyDescent="0.3">
      <c r="A39" s="12">
        <v>1038</v>
      </c>
      <c r="B39" s="12" t="s">
        <v>27</v>
      </c>
      <c r="C39" s="12">
        <v>1023456826</v>
      </c>
      <c r="D39" s="12" t="s">
        <v>112</v>
      </c>
      <c r="E39" s="12" t="s">
        <v>113</v>
      </c>
      <c r="F39" s="12" t="s">
        <v>51</v>
      </c>
    </row>
    <row r="40" spans="1:6" x14ac:dyDescent="0.3">
      <c r="A40" s="12">
        <v>1039</v>
      </c>
      <c r="B40" s="12" t="s">
        <v>27</v>
      </c>
      <c r="C40" s="12">
        <v>1023456827</v>
      </c>
      <c r="D40" s="12" t="s">
        <v>114</v>
      </c>
      <c r="E40" s="12" t="s">
        <v>115</v>
      </c>
      <c r="F40" s="12" t="s">
        <v>54</v>
      </c>
    </row>
    <row r="41" spans="1:6" x14ac:dyDescent="0.3">
      <c r="A41" s="12">
        <v>1040</v>
      </c>
      <c r="B41" s="12" t="s">
        <v>27</v>
      </c>
      <c r="C41" s="12">
        <v>1023456828</v>
      </c>
      <c r="D41" s="12" t="s">
        <v>116</v>
      </c>
      <c r="E41" s="12" t="s">
        <v>117</v>
      </c>
      <c r="F41" s="12" t="s">
        <v>57</v>
      </c>
    </row>
    <row r="42" spans="1:6" x14ac:dyDescent="0.3">
      <c r="A42" s="12">
        <v>1041</v>
      </c>
      <c r="B42" s="12" t="s">
        <v>27</v>
      </c>
      <c r="C42" s="12">
        <v>1023456829</v>
      </c>
      <c r="D42" s="12" t="s">
        <v>118</v>
      </c>
      <c r="E42" s="12" t="s">
        <v>119</v>
      </c>
      <c r="F42" s="12" t="s">
        <v>30</v>
      </c>
    </row>
    <row r="43" spans="1:6" x14ac:dyDescent="0.3">
      <c r="A43" s="12">
        <v>1042</v>
      </c>
      <c r="B43" s="12" t="s">
        <v>27</v>
      </c>
      <c r="C43" s="12">
        <v>1023456830</v>
      </c>
      <c r="D43" s="12" t="s">
        <v>120</v>
      </c>
      <c r="E43" s="12" t="s">
        <v>121</v>
      </c>
      <c r="F43" s="12" t="s">
        <v>33</v>
      </c>
    </row>
    <row r="44" spans="1:6" x14ac:dyDescent="0.3">
      <c r="A44" s="12">
        <v>1043</v>
      </c>
      <c r="B44" s="12" t="s">
        <v>27</v>
      </c>
      <c r="C44" s="12">
        <v>1023456831</v>
      </c>
      <c r="D44" s="12" t="s">
        <v>122</v>
      </c>
      <c r="E44" s="12" t="s">
        <v>123</v>
      </c>
      <c r="F44" s="12" t="s">
        <v>36</v>
      </c>
    </row>
    <row r="45" spans="1:6" x14ac:dyDescent="0.3">
      <c r="A45" s="12">
        <v>1044</v>
      </c>
      <c r="B45" s="12" t="s">
        <v>27</v>
      </c>
      <c r="C45" s="12">
        <v>1023456832</v>
      </c>
      <c r="D45" s="12" t="s">
        <v>124</v>
      </c>
      <c r="E45" s="12" t="s">
        <v>125</v>
      </c>
      <c r="F45" s="12" t="s">
        <v>39</v>
      </c>
    </row>
    <row r="46" spans="1:6" x14ac:dyDescent="0.3">
      <c r="A46" s="12">
        <v>1045</v>
      </c>
      <c r="B46" s="12" t="s">
        <v>27</v>
      </c>
      <c r="C46" s="12">
        <v>1023456833</v>
      </c>
      <c r="D46" s="12" t="s">
        <v>126</v>
      </c>
      <c r="E46" s="12" t="s">
        <v>127</v>
      </c>
      <c r="F46" s="12" t="s">
        <v>42</v>
      </c>
    </row>
    <row r="47" spans="1:6" x14ac:dyDescent="0.3">
      <c r="A47" s="12">
        <v>1046</v>
      </c>
      <c r="B47" s="12" t="s">
        <v>27</v>
      </c>
      <c r="C47" s="12">
        <v>1023456834</v>
      </c>
      <c r="D47" s="12" t="s">
        <v>128</v>
      </c>
      <c r="E47" s="12" t="s">
        <v>129</v>
      </c>
      <c r="F47" s="12" t="s">
        <v>45</v>
      </c>
    </row>
    <row r="48" spans="1:6" x14ac:dyDescent="0.3">
      <c r="A48" s="12">
        <v>1047</v>
      </c>
      <c r="B48" s="12" t="s">
        <v>27</v>
      </c>
      <c r="C48" s="12">
        <v>1023456835</v>
      </c>
      <c r="D48" s="12" t="s">
        <v>130</v>
      </c>
      <c r="E48" s="12" t="s">
        <v>131</v>
      </c>
      <c r="F48" s="12" t="s">
        <v>48</v>
      </c>
    </row>
    <row r="49" spans="1:6" x14ac:dyDescent="0.3">
      <c r="A49" s="12">
        <v>1048</v>
      </c>
      <c r="B49" s="12" t="s">
        <v>27</v>
      </c>
      <c r="C49" s="12">
        <v>1023456836</v>
      </c>
      <c r="D49" s="12" t="s">
        <v>132</v>
      </c>
      <c r="E49" s="12" t="s">
        <v>133</v>
      </c>
      <c r="F49" s="12" t="s">
        <v>51</v>
      </c>
    </row>
    <row r="50" spans="1:6" x14ac:dyDescent="0.3">
      <c r="A50" s="12">
        <v>1049</v>
      </c>
      <c r="B50" s="12" t="s">
        <v>27</v>
      </c>
      <c r="C50" s="12">
        <v>1023456837</v>
      </c>
      <c r="D50" s="12" t="s">
        <v>134</v>
      </c>
      <c r="E50" s="12" t="s">
        <v>135</v>
      </c>
      <c r="F50" s="12" t="s">
        <v>54</v>
      </c>
    </row>
    <row r="51" spans="1:6" x14ac:dyDescent="0.3">
      <c r="A51" s="12">
        <v>1050</v>
      </c>
      <c r="B51" s="12" t="s">
        <v>27</v>
      </c>
      <c r="C51" s="12">
        <v>1023456838</v>
      </c>
      <c r="D51" s="12" t="s">
        <v>136</v>
      </c>
      <c r="E51" s="12" t="s">
        <v>137</v>
      </c>
      <c r="F51" s="12" t="s">
        <v>57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9BCC-3F17-4731-A3EC-29DCAA0F5D44}">
  <dimension ref="A1:F10"/>
  <sheetViews>
    <sheetView tabSelected="1" zoomScale="145" zoomScaleNormal="145" workbookViewId="0">
      <selection activeCell="C3" sqref="C3"/>
    </sheetView>
  </sheetViews>
  <sheetFormatPr defaultRowHeight="14.4" x14ac:dyDescent="0.3"/>
  <cols>
    <col min="1" max="1" width="11" customWidth="1"/>
    <col min="2" max="2" width="19" bestFit="1" customWidth="1"/>
    <col min="3" max="3" width="10.88671875" customWidth="1"/>
    <col min="4" max="4" width="36.33203125" customWidth="1"/>
    <col min="5" max="5" width="19.5546875" customWidth="1"/>
  </cols>
  <sheetData>
    <row r="1" spans="1:6" x14ac:dyDescent="0.3">
      <c r="A1" s="1" t="s">
        <v>3</v>
      </c>
      <c r="B1" s="7" t="s">
        <v>12</v>
      </c>
      <c r="C1" s="7" t="s">
        <v>19</v>
      </c>
      <c r="D1" s="7" t="s">
        <v>291</v>
      </c>
      <c r="E1" s="1" t="s">
        <v>10</v>
      </c>
      <c r="F1" s="1" t="s">
        <v>11</v>
      </c>
    </row>
    <row r="2" spans="1:6" ht="28.8" x14ac:dyDescent="0.3">
      <c r="A2" s="2"/>
      <c r="B2" s="13" t="s">
        <v>49</v>
      </c>
      <c r="C2" s="2" t="s">
        <v>289</v>
      </c>
      <c r="D2" s="17" t="str">
        <f>CONCATENATE("Horario: ",VLOOKUP(C2,dato_grupo,3,FALSE)," *** ",VLOOKUP(C2,dato_grupo,4,FALSE)," *** ",VLOOKUP(VLOOKUP(C2,dato_grupo,5,FALSE),dato_asignatura,2,FALSE))</f>
        <v>Horario: Miércoles 7:00-9:00 *** Carolina Montoya *** Arquitectura de Software</v>
      </c>
      <c r="E2" s="2"/>
      <c r="F2" s="2"/>
    </row>
    <row r="3" spans="1:6" ht="28.8" x14ac:dyDescent="0.3">
      <c r="A3" s="2"/>
      <c r="B3" s="13" t="s">
        <v>58</v>
      </c>
      <c r="C3" s="2" t="s">
        <v>289</v>
      </c>
      <c r="D3" s="17" t="str">
        <f>CONCATENATE("Horario: ",VLOOKUP(C3,dato_grupo,3,FALSE)," *** ",VLOOKUP(C3,dato_grupo,4,FALSE)," *** ",VLOOKUP(VLOOKUP(C3,dato_grupo,5,FALSE),dato_asignatura,2,FALSE))</f>
        <v>Horario: Miércoles 7:00-9:00 *** Carolina Montoya *** Arquitectura de Software</v>
      </c>
      <c r="E3" s="2"/>
      <c r="F3" s="2"/>
    </row>
    <row r="4" spans="1:6" ht="28.8" x14ac:dyDescent="0.3">
      <c r="A4" s="2"/>
      <c r="B4" s="13" t="s">
        <v>52</v>
      </c>
      <c r="C4" s="2" t="s">
        <v>289</v>
      </c>
      <c r="D4" s="17" t="str">
        <f>CONCATENATE("Horario: ",VLOOKUP(C4,dato_grupo,3,FALSE)," *** ",VLOOKUP(C4,dato_grupo,4,FALSE)," *** ",VLOOKUP(VLOOKUP(C4,dato_grupo,5,FALSE),dato_asignatura,2,FALSE))</f>
        <v>Horario: Miércoles 7:00-9:00 *** Carolina Montoya *** Arquitectura de Software</v>
      </c>
      <c r="E4" s="2"/>
      <c r="F4" s="2"/>
    </row>
    <row r="5" spans="1:6" ht="28.8" x14ac:dyDescent="0.3">
      <c r="A5" s="2"/>
      <c r="B5" s="13" t="s">
        <v>60</v>
      </c>
      <c r="C5" s="2" t="s">
        <v>289</v>
      </c>
      <c r="D5" s="17" t="str">
        <f>CONCATENATE("Horario: ",VLOOKUP(C5,dato_grupo,3,FALSE)," *** ",VLOOKUP(C5,dato_grupo,4,FALSE)," *** ",VLOOKUP(VLOOKUP(C5,dato_grupo,5,FALSE),dato_asignatura,2,FALSE))</f>
        <v>Horario: Miércoles 7:00-9:00 *** Carolina Montoya *** Arquitectura de Software</v>
      </c>
      <c r="E5" s="2"/>
      <c r="F5" s="2"/>
    </row>
    <row r="6" spans="1:6" ht="28.8" x14ac:dyDescent="0.3">
      <c r="A6" s="2"/>
      <c r="B6" s="13" t="s">
        <v>134</v>
      </c>
      <c r="C6" s="2" t="s">
        <v>289</v>
      </c>
      <c r="D6" s="17" t="str">
        <f>CONCATENATE("Horario: ",VLOOKUP(C6,dato_grupo,3,FALSE)," *** ",VLOOKUP(C6,dato_grupo,4,FALSE)," *** ",VLOOKUP(VLOOKUP(C6,dato_grupo,5,FALSE),dato_asignatura,2,FALSE))</f>
        <v>Horario: Miércoles 7:00-9:00 *** Carolina Montoya *** Arquitectura de Software</v>
      </c>
      <c r="F6" s="2"/>
    </row>
    <row r="7" spans="1:6" ht="28.8" x14ac:dyDescent="0.3">
      <c r="A7" s="2"/>
      <c r="B7" s="13" t="s">
        <v>31</v>
      </c>
      <c r="C7" s="2" t="s">
        <v>289</v>
      </c>
      <c r="D7" s="17" t="str">
        <f>CONCATENATE("Horario: ",VLOOKUP(C7,dato_grupo,3,FALSE)," *** ",VLOOKUP(C7,dato_grupo,4,FALSE)," *** ",VLOOKUP(VLOOKUP(C7,dato_grupo,5,FALSE),dato_asignatura,2,FALSE))</f>
        <v>Horario: Miércoles 7:00-9:00 *** Carolina Montoya *** Arquitectura de Software</v>
      </c>
      <c r="E7" s="2"/>
      <c r="F7" s="2"/>
    </row>
    <row r="8" spans="1:6" x14ac:dyDescent="0.3">
      <c r="A8" s="2"/>
      <c r="B8" s="13"/>
      <c r="C8" s="2"/>
      <c r="D8" s="17" t="e">
        <f>CONCATENATE("Horario: ",VLOOKUP(C8,dato_grupo,3,FALSE)," *** ",VLOOKUP(C8,dato_grupo,4,FALSE)," *** ",VLOOKUP(VLOOKUP(C8,dato_grupo,5,FALSE),dato_asignatura,2,FALSE))</f>
        <v>#N/A</v>
      </c>
      <c r="E8" s="2"/>
      <c r="F8" s="2"/>
    </row>
    <row r="9" spans="1:6" x14ac:dyDescent="0.3">
      <c r="A9" s="2"/>
      <c r="B9" s="13"/>
      <c r="C9" s="2"/>
      <c r="D9" s="17" t="e">
        <f>CONCATENATE("Horario: ",VLOOKUP(C9,dato_grupo,3,FALSE)," *** ",VLOOKUP(C9,dato_grupo,4,FALSE)," *** ",VLOOKUP(VLOOKUP(C9,dato_grupo,5,FALSE),dato_asignatura,2,FALSE))</f>
        <v>#N/A</v>
      </c>
      <c r="E9" s="2"/>
      <c r="F9" s="2"/>
    </row>
    <row r="10" spans="1:6" x14ac:dyDescent="0.3">
      <c r="A10" s="2"/>
      <c r="B10" s="13"/>
      <c r="C10" s="2"/>
      <c r="D10" s="17" t="e">
        <f>CONCATENATE("Horario: ",VLOOKUP(C10,dato_grupo,3,FALSE)," *** ",VLOOKUP(C10,dato_grupo,4,FALSE)," *** ",VLOOKUP(VLOOKUP(C10,dato_grupo,5,FALSE),dato_asignatura,2,FALSE))</f>
        <v>#N/A</v>
      </c>
      <c r="E10" s="2"/>
      <c r="F10" s="2"/>
    </row>
  </sheetData>
  <dataValidations count="2">
    <dataValidation type="list" allowBlank="1" showInputMessage="1" showErrorMessage="1" sqref="B2:B10" xr:uid="{57F52636-B56B-4211-8E1B-6675BB146580}">
      <formula1>nombre_estudiante</formula1>
    </dataValidation>
    <dataValidation type="list" allowBlank="1" showInputMessage="1" showErrorMessage="1" sqref="C2:C10" xr:uid="{8F8BEC81-5488-4193-B36F-29B5E74B0489}">
      <formula1>grupo_id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18AC-A9A6-40C1-B394-3E280B0F0A27}">
  <dimension ref="A1:E21"/>
  <sheetViews>
    <sheetView topLeftCell="A13" zoomScale="234" workbookViewId="0">
      <selection activeCell="E20" sqref="E20"/>
    </sheetView>
  </sheetViews>
  <sheetFormatPr defaultRowHeight="14.4" x14ac:dyDescent="0.3"/>
  <cols>
    <col min="1" max="1" width="11" customWidth="1"/>
    <col min="2" max="2" width="7.44140625" bestFit="1" customWidth="1"/>
    <col min="3" max="3" width="17.21875" bestFit="1" customWidth="1"/>
    <col min="4" max="4" width="21.77734375" bestFit="1" customWidth="1"/>
    <col min="5" max="5" width="12.109375" bestFit="1" customWidth="1"/>
  </cols>
  <sheetData>
    <row r="1" spans="1:5" x14ac:dyDescent="0.3">
      <c r="A1" s="1" t="s">
        <v>3</v>
      </c>
      <c r="B1" s="1" t="s">
        <v>15</v>
      </c>
      <c r="C1" s="1" t="s">
        <v>16</v>
      </c>
      <c r="D1" s="1" t="s">
        <v>17</v>
      </c>
      <c r="E1" s="7" t="s">
        <v>25</v>
      </c>
    </row>
    <row r="2" spans="1:5" x14ac:dyDescent="0.3">
      <c r="A2" s="2" t="s">
        <v>245</v>
      </c>
      <c r="B2" s="2" t="s">
        <v>246</v>
      </c>
      <c r="C2" s="2" t="s">
        <v>247</v>
      </c>
      <c r="D2" s="2" t="s">
        <v>248</v>
      </c>
      <c r="E2" s="2" t="s">
        <v>141</v>
      </c>
    </row>
    <row r="3" spans="1:5" x14ac:dyDescent="0.3">
      <c r="A3" s="2" t="s">
        <v>249</v>
      </c>
      <c r="B3" s="2" t="s">
        <v>246</v>
      </c>
      <c r="C3" s="2" t="s">
        <v>250</v>
      </c>
      <c r="D3" s="2" t="s">
        <v>251</v>
      </c>
      <c r="E3" s="2" t="s">
        <v>141</v>
      </c>
    </row>
    <row r="4" spans="1:5" x14ac:dyDescent="0.3">
      <c r="A4" s="2" t="s">
        <v>252</v>
      </c>
      <c r="B4" s="2" t="s">
        <v>246</v>
      </c>
      <c r="C4" s="2" t="s">
        <v>253</v>
      </c>
      <c r="D4" s="2" t="s">
        <v>254</v>
      </c>
      <c r="E4" s="2" t="s">
        <v>164</v>
      </c>
    </row>
    <row r="5" spans="1:5" x14ac:dyDescent="0.3">
      <c r="A5" s="2" t="s">
        <v>255</v>
      </c>
      <c r="B5" s="2" t="s">
        <v>246</v>
      </c>
      <c r="C5" s="2" t="s">
        <v>256</v>
      </c>
      <c r="D5" s="2" t="s">
        <v>257</v>
      </c>
      <c r="E5" s="2" t="s">
        <v>164</v>
      </c>
    </row>
    <row r="6" spans="1:5" x14ac:dyDescent="0.3">
      <c r="A6" s="2" t="s">
        <v>258</v>
      </c>
      <c r="B6" s="2" t="s">
        <v>246</v>
      </c>
      <c r="C6" s="2" t="s">
        <v>259</v>
      </c>
      <c r="D6" s="2" t="s">
        <v>260</v>
      </c>
      <c r="E6" s="2" t="s">
        <v>176</v>
      </c>
    </row>
    <row r="7" spans="1:5" x14ac:dyDescent="0.3">
      <c r="A7" s="2" t="s">
        <v>261</v>
      </c>
      <c r="B7" s="2" t="s">
        <v>246</v>
      </c>
      <c r="C7" s="2" t="s">
        <v>262</v>
      </c>
      <c r="D7" s="2" t="s">
        <v>31</v>
      </c>
      <c r="E7" s="2" t="s">
        <v>176</v>
      </c>
    </row>
    <row r="8" spans="1:5" x14ac:dyDescent="0.3">
      <c r="A8" s="2" t="s">
        <v>263</v>
      </c>
      <c r="B8" s="2" t="s">
        <v>246</v>
      </c>
      <c r="C8" s="2" t="s">
        <v>264</v>
      </c>
      <c r="D8" s="2" t="s">
        <v>265</v>
      </c>
      <c r="E8" s="2" t="s">
        <v>184</v>
      </c>
    </row>
    <row r="9" spans="1:5" x14ac:dyDescent="0.3">
      <c r="A9" s="2" t="s">
        <v>266</v>
      </c>
      <c r="B9" s="2" t="s">
        <v>246</v>
      </c>
      <c r="C9" s="2" t="s">
        <v>267</v>
      </c>
      <c r="D9" s="2" t="s">
        <v>268</v>
      </c>
      <c r="E9" s="2" t="s">
        <v>184</v>
      </c>
    </row>
    <row r="10" spans="1:5" x14ac:dyDescent="0.3">
      <c r="A10" s="13" t="s">
        <v>269</v>
      </c>
      <c r="B10" s="13" t="s">
        <v>246</v>
      </c>
      <c r="C10" s="13" t="s">
        <v>270</v>
      </c>
      <c r="D10" s="13" t="s">
        <v>271</v>
      </c>
      <c r="E10" s="13" t="s">
        <v>205</v>
      </c>
    </row>
    <row r="11" spans="1:5" x14ac:dyDescent="0.3">
      <c r="A11" s="13" t="s">
        <v>272</v>
      </c>
      <c r="B11" s="13" t="s">
        <v>246</v>
      </c>
      <c r="C11" s="13" t="s">
        <v>273</v>
      </c>
      <c r="D11" s="13" t="s">
        <v>102</v>
      </c>
      <c r="E11" s="13" t="s">
        <v>205</v>
      </c>
    </row>
    <row r="12" spans="1:5" x14ac:dyDescent="0.3">
      <c r="A12" s="2" t="s">
        <v>274</v>
      </c>
      <c r="B12" s="2" t="s">
        <v>275</v>
      </c>
      <c r="C12" s="2" t="s">
        <v>247</v>
      </c>
      <c r="D12" s="2" t="s">
        <v>98</v>
      </c>
      <c r="E12" s="2" t="s">
        <v>215</v>
      </c>
    </row>
    <row r="13" spans="1:5" x14ac:dyDescent="0.3">
      <c r="A13" s="2" t="s">
        <v>276</v>
      </c>
      <c r="B13" s="2" t="s">
        <v>275</v>
      </c>
      <c r="C13" s="2" t="s">
        <v>250</v>
      </c>
      <c r="D13" s="2" t="s">
        <v>277</v>
      </c>
      <c r="E13" s="2" t="s">
        <v>215</v>
      </c>
    </row>
    <row r="14" spans="1:5" x14ac:dyDescent="0.3">
      <c r="A14" s="2" t="s">
        <v>278</v>
      </c>
      <c r="B14" s="2" t="s">
        <v>275</v>
      </c>
      <c r="C14" s="2" t="s">
        <v>279</v>
      </c>
      <c r="D14" s="2" t="s">
        <v>112</v>
      </c>
      <c r="E14" s="2" t="s">
        <v>225</v>
      </c>
    </row>
    <row r="15" spans="1:5" x14ac:dyDescent="0.3">
      <c r="A15" s="2" t="s">
        <v>280</v>
      </c>
      <c r="B15" s="2" t="s">
        <v>275</v>
      </c>
      <c r="C15" s="2" t="s">
        <v>256</v>
      </c>
      <c r="D15" s="2" t="s">
        <v>281</v>
      </c>
      <c r="E15" s="2" t="s">
        <v>225</v>
      </c>
    </row>
    <row r="16" spans="1:5" x14ac:dyDescent="0.3">
      <c r="A16" s="2" t="s">
        <v>282</v>
      </c>
      <c r="B16" s="2" t="s">
        <v>275</v>
      </c>
      <c r="C16" s="2" t="s">
        <v>283</v>
      </c>
      <c r="D16" s="2" t="s">
        <v>128</v>
      </c>
      <c r="E16" s="2" t="s">
        <v>233</v>
      </c>
    </row>
    <row r="17" spans="1:5" x14ac:dyDescent="0.3">
      <c r="A17" s="2" t="s">
        <v>284</v>
      </c>
      <c r="B17" s="2" t="s">
        <v>275</v>
      </c>
      <c r="C17" s="2" t="s">
        <v>285</v>
      </c>
      <c r="D17" s="2" t="s">
        <v>76</v>
      </c>
      <c r="E17" s="2" t="s">
        <v>233</v>
      </c>
    </row>
    <row r="18" spans="1:5" x14ac:dyDescent="0.3">
      <c r="A18" s="2" t="s">
        <v>286</v>
      </c>
      <c r="B18" s="2" t="s">
        <v>275</v>
      </c>
      <c r="C18" s="2" t="s">
        <v>264</v>
      </c>
      <c r="D18" s="2" t="s">
        <v>118</v>
      </c>
      <c r="E18" s="2" t="s">
        <v>154</v>
      </c>
    </row>
    <row r="19" spans="1:5" x14ac:dyDescent="0.3">
      <c r="A19" s="2" t="s">
        <v>287</v>
      </c>
      <c r="B19" s="2" t="s">
        <v>275</v>
      </c>
      <c r="C19" s="2" t="s">
        <v>288</v>
      </c>
      <c r="D19" s="2" t="s">
        <v>132</v>
      </c>
      <c r="E19" s="2" t="s">
        <v>154</v>
      </c>
    </row>
    <row r="20" spans="1:5" x14ac:dyDescent="0.3">
      <c r="A20" s="2" t="s">
        <v>289</v>
      </c>
      <c r="B20" s="2" t="s">
        <v>275</v>
      </c>
      <c r="C20" s="2" t="s">
        <v>270</v>
      </c>
      <c r="D20" s="2" t="s">
        <v>130</v>
      </c>
      <c r="E20" s="2" t="s">
        <v>186</v>
      </c>
    </row>
    <row r="21" spans="1:5" x14ac:dyDescent="0.3">
      <c r="A21" s="2" t="s">
        <v>290</v>
      </c>
      <c r="B21" s="2" t="s">
        <v>275</v>
      </c>
      <c r="C21" s="2" t="s">
        <v>273</v>
      </c>
      <c r="D21" s="2" t="s">
        <v>120</v>
      </c>
      <c r="E21" s="2" t="s">
        <v>186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4B89-58BE-4B4C-A00D-FBE2F7EB1D90}">
  <dimension ref="A1:F51"/>
  <sheetViews>
    <sheetView topLeftCell="A14" zoomScale="177" workbookViewId="0">
      <selection activeCell="A23" sqref="A23:F23"/>
    </sheetView>
  </sheetViews>
  <sheetFormatPr defaultRowHeight="14.4" x14ac:dyDescent="0.3"/>
  <cols>
    <col min="1" max="1" width="11" customWidth="1"/>
    <col min="2" max="2" width="29.21875" bestFit="1" customWidth="1"/>
    <col min="3" max="3" width="10.5546875" bestFit="1" customWidth="1"/>
    <col min="4" max="4" width="10.33203125" customWidth="1"/>
    <col min="5" max="5" width="19" bestFit="1" customWidth="1"/>
  </cols>
  <sheetData>
    <row r="1" spans="1:6" x14ac:dyDescent="0.3">
      <c r="A1" s="1" t="s">
        <v>3</v>
      </c>
      <c r="B1" s="1" t="s">
        <v>2</v>
      </c>
      <c r="C1" s="1" t="s">
        <v>20</v>
      </c>
      <c r="D1" s="1" t="s">
        <v>21</v>
      </c>
      <c r="E1" s="1" t="s">
        <v>22</v>
      </c>
      <c r="F1" s="1" t="s">
        <v>20</v>
      </c>
    </row>
    <row r="2" spans="1:6" x14ac:dyDescent="0.3">
      <c r="A2" s="12" t="s">
        <v>138</v>
      </c>
      <c r="B2" s="12" t="s">
        <v>139</v>
      </c>
      <c r="C2" s="14">
        <v>3</v>
      </c>
      <c r="D2" s="14">
        <v>1</v>
      </c>
      <c r="E2" s="12" t="s">
        <v>140</v>
      </c>
      <c r="F2" s="14">
        <v>3</v>
      </c>
    </row>
    <row r="3" spans="1:6" x14ac:dyDescent="0.3">
      <c r="A3" s="12" t="s">
        <v>141</v>
      </c>
      <c r="B3" s="12" t="s">
        <v>142</v>
      </c>
      <c r="C3" s="14">
        <v>4</v>
      </c>
      <c r="D3" s="14">
        <v>1</v>
      </c>
      <c r="E3" s="12" t="s">
        <v>143</v>
      </c>
      <c r="F3" s="14">
        <v>4</v>
      </c>
    </row>
    <row r="4" spans="1:6" x14ac:dyDescent="0.3">
      <c r="A4" s="12" t="s">
        <v>144</v>
      </c>
      <c r="B4" s="12" t="s">
        <v>145</v>
      </c>
      <c r="C4" s="14">
        <v>2</v>
      </c>
      <c r="D4" s="14">
        <v>1</v>
      </c>
      <c r="E4" s="12" t="s">
        <v>146</v>
      </c>
      <c r="F4" s="14">
        <v>2</v>
      </c>
    </row>
    <row r="5" spans="1:6" x14ac:dyDescent="0.3">
      <c r="A5" s="12" t="s">
        <v>147</v>
      </c>
      <c r="B5" s="12" t="s">
        <v>148</v>
      </c>
      <c r="C5" s="14">
        <v>2</v>
      </c>
      <c r="D5" s="14">
        <v>1</v>
      </c>
      <c r="E5" s="12" t="s">
        <v>149</v>
      </c>
      <c r="F5" s="14">
        <v>2</v>
      </c>
    </row>
    <row r="6" spans="1:6" x14ac:dyDescent="0.3">
      <c r="A6" s="12" t="s">
        <v>150</v>
      </c>
      <c r="B6" s="12" t="s">
        <v>151</v>
      </c>
      <c r="C6" s="14">
        <v>3</v>
      </c>
      <c r="D6" s="14">
        <v>1</v>
      </c>
      <c r="E6" s="12" t="s">
        <v>140</v>
      </c>
      <c r="F6" s="14">
        <v>3</v>
      </c>
    </row>
    <row r="7" spans="1:6" x14ac:dyDescent="0.3">
      <c r="A7" s="12" t="s">
        <v>152</v>
      </c>
      <c r="B7" s="12" t="s">
        <v>153</v>
      </c>
      <c r="C7" s="14">
        <v>3</v>
      </c>
      <c r="D7" s="14">
        <v>2</v>
      </c>
      <c r="E7" s="12" t="s">
        <v>140</v>
      </c>
      <c r="F7" s="14">
        <v>3</v>
      </c>
    </row>
    <row r="8" spans="1:6" x14ac:dyDescent="0.3">
      <c r="A8" s="12" t="s">
        <v>154</v>
      </c>
      <c r="B8" s="12" t="s">
        <v>155</v>
      </c>
      <c r="C8" s="14">
        <v>4</v>
      </c>
      <c r="D8" s="14">
        <v>2</v>
      </c>
      <c r="E8" s="12" t="s">
        <v>143</v>
      </c>
      <c r="F8" s="14">
        <v>4</v>
      </c>
    </row>
    <row r="9" spans="1:6" x14ac:dyDescent="0.3">
      <c r="A9" s="12" t="s">
        <v>156</v>
      </c>
      <c r="B9" s="12" t="s">
        <v>157</v>
      </c>
      <c r="C9" s="14">
        <v>3</v>
      </c>
      <c r="D9" s="14">
        <v>2</v>
      </c>
      <c r="E9" s="12" t="s">
        <v>140</v>
      </c>
      <c r="F9" s="14">
        <v>3</v>
      </c>
    </row>
    <row r="10" spans="1:6" x14ac:dyDescent="0.3">
      <c r="A10" s="12" t="s">
        <v>158</v>
      </c>
      <c r="B10" s="12" t="s">
        <v>159</v>
      </c>
      <c r="C10" s="14">
        <v>3</v>
      </c>
      <c r="D10" s="14">
        <v>2</v>
      </c>
      <c r="E10" s="12" t="s">
        <v>143</v>
      </c>
      <c r="F10" s="14">
        <v>3</v>
      </c>
    </row>
    <row r="11" spans="1:6" x14ac:dyDescent="0.3">
      <c r="A11" s="12" t="s">
        <v>160</v>
      </c>
      <c r="B11" s="12" t="s">
        <v>161</v>
      </c>
      <c r="C11" s="14">
        <v>2</v>
      </c>
      <c r="D11" s="14">
        <v>2</v>
      </c>
      <c r="E11" s="12" t="s">
        <v>149</v>
      </c>
      <c r="F11" s="14">
        <v>2</v>
      </c>
    </row>
    <row r="12" spans="1:6" x14ac:dyDescent="0.3">
      <c r="A12" s="12" t="s">
        <v>162</v>
      </c>
      <c r="B12" s="12" t="s">
        <v>163</v>
      </c>
      <c r="C12" s="14">
        <v>4</v>
      </c>
      <c r="D12" s="14">
        <v>3</v>
      </c>
      <c r="E12" s="12" t="s">
        <v>143</v>
      </c>
      <c r="F12" s="14">
        <v>4</v>
      </c>
    </row>
    <row r="13" spans="1:6" x14ac:dyDescent="0.3">
      <c r="A13" s="12" t="s">
        <v>164</v>
      </c>
      <c r="B13" s="12" t="s">
        <v>165</v>
      </c>
      <c r="C13" s="14">
        <v>3</v>
      </c>
      <c r="D13" s="14">
        <v>3</v>
      </c>
      <c r="E13" s="12" t="s">
        <v>166</v>
      </c>
      <c r="F13" s="14">
        <v>3</v>
      </c>
    </row>
    <row r="14" spans="1:6" x14ac:dyDescent="0.3">
      <c r="A14" s="12" t="s">
        <v>167</v>
      </c>
      <c r="B14" s="12" t="s">
        <v>168</v>
      </c>
      <c r="C14" s="14">
        <v>3</v>
      </c>
      <c r="D14" s="14">
        <v>3</v>
      </c>
      <c r="E14" s="12" t="s">
        <v>140</v>
      </c>
      <c r="F14" s="14">
        <v>3</v>
      </c>
    </row>
    <row r="15" spans="1:6" x14ac:dyDescent="0.3">
      <c r="A15" s="12" t="s">
        <v>169</v>
      </c>
      <c r="B15" s="12" t="s">
        <v>170</v>
      </c>
      <c r="C15" s="14">
        <v>3</v>
      </c>
      <c r="D15" s="14">
        <v>3</v>
      </c>
      <c r="E15" s="12" t="s">
        <v>140</v>
      </c>
      <c r="F15" s="14">
        <v>3</v>
      </c>
    </row>
    <row r="16" spans="1:6" x14ac:dyDescent="0.3">
      <c r="A16" s="12" t="s">
        <v>171</v>
      </c>
      <c r="B16" s="12" t="s">
        <v>172</v>
      </c>
      <c r="C16" s="14">
        <v>2</v>
      </c>
      <c r="D16" s="14">
        <v>3</v>
      </c>
      <c r="E16" s="12" t="s">
        <v>173</v>
      </c>
      <c r="F16" s="14">
        <v>2</v>
      </c>
    </row>
    <row r="17" spans="1:6" x14ac:dyDescent="0.3">
      <c r="A17" s="12" t="s">
        <v>174</v>
      </c>
      <c r="B17" s="12" t="s">
        <v>175</v>
      </c>
      <c r="C17" s="14">
        <v>3</v>
      </c>
      <c r="D17" s="14">
        <v>4</v>
      </c>
      <c r="E17" s="12" t="s">
        <v>166</v>
      </c>
      <c r="F17" s="14">
        <v>3</v>
      </c>
    </row>
    <row r="18" spans="1:6" x14ac:dyDescent="0.3">
      <c r="A18" s="12" t="s">
        <v>176</v>
      </c>
      <c r="B18" s="12" t="s">
        <v>177</v>
      </c>
      <c r="C18" s="14">
        <v>4</v>
      </c>
      <c r="D18" s="14">
        <v>4</v>
      </c>
      <c r="E18" s="12" t="s">
        <v>143</v>
      </c>
      <c r="F18" s="14">
        <v>4</v>
      </c>
    </row>
    <row r="19" spans="1:6" x14ac:dyDescent="0.3">
      <c r="A19" s="12" t="s">
        <v>178</v>
      </c>
      <c r="B19" s="12" t="s">
        <v>179</v>
      </c>
      <c r="C19" s="14">
        <v>3</v>
      </c>
      <c r="D19" s="14">
        <v>4</v>
      </c>
      <c r="E19" s="12" t="s">
        <v>140</v>
      </c>
      <c r="F19" s="14">
        <v>3</v>
      </c>
    </row>
    <row r="20" spans="1:6" x14ac:dyDescent="0.3">
      <c r="A20" s="12" t="s">
        <v>180</v>
      </c>
      <c r="B20" s="12" t="s">
        <v>181</v>
      </c>
      <c r="C20" s="14">
        <v>3</v>
      </c>
      <c r="D20" s="14">
        <v>4</v>
      </c>
      <c r="E20" s="12" t="s">
        <v>143</v>
      </c>
      <c r="F20" s="14">
        <v>3</v>
      </c>
    </row>
    <row r="21" spans="1:6" x14ac:dyDescent="0.3">
      <c r="A21" s="12" t="s">
        <v>182</v>
      </c>
      <c r="B21" s="12" t="s">
        <v>183</v>
      </c>
      <c r="C21" s="14">
        <v>2</v>
      </c>
      <c r="D21" s="14">
        <v>4</v>
      </c>
      <c r="E21" s="12" t="s">
        <v>173</v>
      </c>
      <c r="F21" s="14">
        <v>2</v>
      </c>
    </row>
    <row r="22" spans="1:6" x14ac:dyDescent="0.3">
      <c r="A22" s="12" t="s">
        <v>184</v>
      </c>
      <c r="B22" s="12" t="s">
        <v>185</v>
      </c>
      <c r="C22" s="14">
        <v>3</v>
      </c>
      <c r="D22" s="14">
        <v>5</v>
      </c>
      <c r="E22" s="12" t="s">
        <v>166</v>
      </c>
      <c r="F22" s="14">
        <v>3</v>
      </c>
    </row>
    <row r="23" spans="1:6" x14ac:dyDescent="0.3">
      <c r="A23" s="12" t="s">
        <v>186</v>
      </c>
      <c r="B23" s="12" t="s">
        <v>187</v>
      </c>
      <c r="C23" s="14">
        <v>3</v>
      </c>
      <c r="D23" s="14">
        <v>5</v>
      </c>
      <c r="E23" s="12" t="s">
        <v>166</v>
      </c>
      <c r="F23" s="14">
        <v>3</v>
      </c>
    </row>
    <row r="24" spans="1:6" x14ac:dyDescent="0.3">
      <c r="A24" s="12" t="s">
        <v>188</v>
      </c>
      <c r="B24" s="12" t="s">
        <v>189</v>
      </c>
      <c r="C24" s="14">
        <v>3</v>
      </c>
      <c r="D24" s="14">
        <v>5</v>
      </c>
      <c r="E24" s="12" t="s">
        <v>143</v>
      </c>
      <c r="F24" s="14">
        <v>3</v>
      </c>
    </row>
    <row r="25" spans="1:6" x14ac:dyDescent="0.3">
      <c r="A25" s="12" t="s">
        <v>190</v>
      </c>
      <c r="B25" s="12" t="s">
        <v>191</v>
      </c>
      <c r="C25" s="14">
        <v>3</v>
      </c>
      <c r="D25" s="14">
        <v>5</v>
      </c>
      <c r="E25" s="12" t="s">
        <v>140</v>
      </c>
      <c r="F25" s="14">
        <v>3</v>
      </c>
    </row>
    <row r="26" spans="1:6" x14ac:dyDescent="0.3">
      <c r="A26" s="12" t="s">
        <v>192</v>
      </c>
      <c r="B26" s="12" t="s">
        <v>193</v>
      </c>
      <c r="C26" s="14">
        <v>2</v>
      </c>
      <c r="D26" s="14">
        <v>5</v>
      </c>
      <c r="E26" s="12" t="s">
        <v>193</v>
      </c>
      <c r="F26" s="14">
        <v>2</v>
      </c>
    </row>
    <row r="27" spans="1:6" x14ac:dyDescent="0.3">
      <c r="A27" s="12" t="s">
        <v>194</v>
      </c>
      <c r="B27" s="12" t="s">
        <v>195</v>
      </c>
      <c r="C27" s="14">
        <v>3</v>
      </c>
      <c r="D27" s="14">
        <v>6</v>
      </c>
      <c r="E27" s="12" t="s">
        <v>166</v>
      </c>
      <c r="F27" s="14">
        <v>3</v>
      </c>
    </row>
    <row r="28" spans="1:6" x14ac:dyDescent="0.3">
      <c r="A28" s="12" t="s">
        <v>196</v>
      </c>
      <c r="B28" s="12" t="s">
        <v>197</v>
      </c>
      <c r="C28" s="14">
        <v>3</v>
      </c>
      <c r="D28" s="14">
        <v>6</v>
      </c>
      <c r="E28" s="12" t="s">
        <v>166</v>
      </c>
      <c r="F28" s="14">
        <v>3</v>
      </c>
    </row>
    <row r="29" spans="1:6" x14ac:dyDescent="0.3">
      <c r="A29" s="12" t="s">
        <v>198</v>
      </c>
      <c r="B29" s="12" t="s">
        <v>199</v>
      </c>
      <c r="C29" s="14">
        <v>3</v>
      </c>
      <c r="D29" s="14">
        <v>6</v>
      </c>
      <c r="E29" s="12" t="s">
        <v>166</v>
      </c>
      <c r="F29" s="14">
        <v>3</v>
      </c>
    </row>
    <row r="30" spans="1:6" x14ac:dyDescent="0.3">
      <c r="A30" s="12" t="s">
        <v>200</v>
      </c>
      <c r="B30" s="12" t="s">
        <v>201</v>
      </c>
      <c r="C30" s="14">
        <v>2</v>
      </c>
      <c r="D30" s="14">
        <v>6</v>
      </c>
      <c r="E30" s="12" t="s">
        <v>202</v>
      </c>
      <c r="F30" s="14">
        <v>2</v>
      </c>
    </row>
    <row r="31" spans="1:6" x14ac:dyDescent="0.3">
      <c r="A31" s="12" t="s">
        <v>203</v>
      </c>
      <c r="B31" s="12" t="s">
        <v>204</v>
      </c>
      <c r="C31" s="14">
        <v>2</v>
      </c>
      <c r="D31" s="14">
        <v>6</v>
      </c>
      <c r="E31" s="12" t="s">
        <v>173</v>
      </c>
      <c r="F31" s="14">
        <v>2</v>
      </c>
    </row>
    <row r="32" spans="1:6" x14ac:dyDescent="0.3">
      <c r="A32" s="15" t="s">
        <v>205</v>
      </c>
      <c r="B32" s="15" t="s">
        <v>206</v>
      </c>
      <c r="C32" s="16">
        <v>3</v>
      </c>
      <c r="D32" s="16">
        <v>7</v>
      </c>
      <c r="E32" s="15" t="s">
        <v>166</v>
      </c>
      <c r="F32" s="16">
        <v>3</v>
      </c>
    </row>
    <row r="33" spans="1:6" x14ac:dyDescent="0.3">
      <c r="A33" s="12" t="s">
        <v>207</v>
      </c>
      <c r="B33" s="12" t="s">
        <v>208</v>
      </c>
      <c r="C33" s="14">
        <v>3</v>
      </c>
      <c r="D33" s="14">
        <v>7</v>
      </c>
      <c r="E33" s="12" t="s">
        <v>166</v>
      </c>
      <c r="F33" s="14">
        <v>3</v>
      </c>
    </row>
    <row r="34" spans="1:6" x14ac:dyDescent="0.3">
      <c r="A34" s="12" t="s">
        <v>209</v>
      </c>
      <c r="B34" s="12" t="s">
        <v>210</v>
      </c>
      <c r="C34" s="14">
        <v>3</v>
      </c>
      <c r="D34" s="14">
        <v>7</v>
      </c>
      <c r="E34" s="12" t="s">
        <v>166</v>
      </c>
      <c r="F34" s="14">
        <v>3</v>
      </c>
    </row>
    <row r="35" spans="1:6" x14ac:dyDescent="0.3">
      <c r="A35" s="12" t="s">
        <v>211</v>
      </c>
      <c r="B35" s="12" t="s">
        <v>212</v>
      </c>
      <c r="C35" s="14">
        <v>3</v>
      </c>
      <c r="D35" s="14">
        <v>7</v>
      </c>
      <c r="E35" s="12" t="s">
        <v>143</v>
      </c>
      <c r="F35" s="14">
        <v>3</v>
      </c>
    </row>
    <row r="36" spans="1:6" x14ac:dyDescent="0.3">
      <c r="A36" s="12" t="s">
        <v>213</v>
      </c>
      <c r="B36" s="12" t="s">
        <v>214</v>
      </c>
      <c r="C36" s="14">
        <v>2</v>
      </c>
      <c r="D36" s="14">
        <v>7</v>
      </c>
      <c r="E36" s="12" t="s">
        <v>202</v>
      </c>
      <c r="F36" s="14">
        <v>2</v>
      </c>
    </row>
    <row r="37" spans="1:6" x14ac:dyDescent="0.3">
      <c r="A37" s="12" t="s">
        <v>215</v>
      </c>
      <c r="B37" s="12" t="s">
        <v>216</v>
      </c>
      <c r="C37" s="14">
        <v>3</v>
      </c>
      <c r="D37" s="14">
        <v>8</v>
      </c>
      <c r="E37" s="12" t="s">
        <v>166</v>
      </c>
      <c r="F37" s="14">
        <v>3</v>
      </c>
    </row>
    <row r="38" spans="1:6" x14ac:dyDescent="0.3">
      <c r="A38" s="12" t="s">
        <v>217</v>
      </c>
      <c r="B38" s="12" t="s">
        <v>218</v>
      </c>
      <c r="C38" s="14">
        <v>3</v>
      </c>
      <c r="D38" s="14">
        <v>8</v>
      </c>
      <c r="E38" s="12" t="s">
        <v>166</v>
      </c>
      <c r="F38" s="14">
        <v>3</v>
      </c>
    </row>
    <row r="39" spans="1:6" x14ac:dyDescent="0.3">
      <c r="A39" s="12" t="s">
        <v>219</v>
      </c>
      <c r="B39" s="12" t="s">
        <v>220</v>
      </c>
      <c r="C39" s="14">
        <v>3</v>
      </c>
      <c r="D39" s="14">
        <v>8</v>
      </c>
      <c r="E39" s="12" t="s">
        <v>166</v>
      </c>
      <c r="F39" s="14">
        <v>3</v>
      </c>
    </row>
    <row r="40" spans="1:6" x14ac:dyDescent="0.3">
      <c r="A40" s="12" t="s">
        <v>221</v>
      </c>
      <c r="B40" s="12" t="s">
        <v>222</v>
      </c>
      <c r="C40" s="14">
        <v>3</v>
      </c>
      <c r="D40" s="14">
        <v>8</v>
      </c>
      <c r="E40" s="12" t="s">
        <v>143</v>
      </c>
      <c r="F40" s="14">
        <v>3</v>
      </c>
    </row>
    <row r="41" spans="1:6" x14ac:dyDescent="0.3">
      <c r="A41" s="12" t="s">
        <v>223</v>
      </c>
      <c r="B41" s="12" t="s">
        <v>224</v>
      </c>
      <c r="C41" s="14">
        <v>2</v>
      </c>
      <c r="D41" s="14">
        <v>8</v>
      </c>
      <c r="E41" s="12" t="s">
        <v>173</v>
      </c>
      <c r="F41" s="14">
        <v>2</v>
      </c>
    </row>
    <row r="42" spans="1:6" x14ac:dyDescent="0.3">
      <c r="A42" s="12" t="s">
        <v>225</v>
      </c>
      <c r="B42" s="12" t="s">
        <v>226</v>
      </c>
      <c r="C42" s="14">
        <v>4</v>
      </c>
      <c r="D42" s="14">
        <v>9</v>
      </c>
      <c r="E42" s="12" t="s">
        <v>166</v>
      </c>
      <c r="F42" s="14">
        <v>4</v>
      </c>
    </row>
    <row r="43" spans="1:6" x14ac:dyDescent="0.3">
      <c r="A43" s="12" t="s">
        <v>227</v>
      </c>
      <c r="B43" s="12" t="s">
        <v>228</v>
      </c>
      <c r="C43" s="14">
        <v>4</v>
      </c>
      <c r="D43" s="14">
        <v>9</v>
      </c>
      <c r="E43" s="12" t="s">
        <v>166</v>
      </c>
      <c r="F43" s="14">
        <v>4</v>
      </c>
    </row>
    <row r="44" spans="1:6" x14ac:dyDescent="0.3">
      <c r="A44" s="12" t="s">
        <v>229</v>
      </c>
      <c r="B44" s="12" t="s">
        <v>230</v>
      </c>
      <c r="C44" s="14">
        <v>3</v>
      </c>
      <c r="D44" s="14">
        <v>9</v>
      </c>
      <c r="E44" s="12" t="s">
        <v>143</v>
      </c>
      <c r="F44" s="14">
        <v>3</v>
      </c>
    </row>
    <row r="45" spans="1:6" x14ac:dyDescent="0.3">
      <c r="A45" s="12" t="s">
        <v>231</v>
      </c>
      <c r="B45" s="12" t="s">
        <v>232</v>
      </c>
      <c r="C45" s="14">
        <v>3</v>
      </c>
      <c r="D45" s="14">
        <v>9</v>
      </c>
      <c r="E45" s="12" t="s">
        <v>143</v>
      </c>
      <c r="F45" s="14">
        <v>3</v>
      </c>
    </row>
    <row r="46" spans="1:6" x14ac:dyDescent="0.3">
      <c r="A46" s="12" t="s">
        <v>233</v>
      </c>
      <c r="B46" s="12" t="s">
        <v>234</v>
      </c>
      <c r="C46" s="14">
        <v>4</v>
      </c>
      <c r="D46" s="14">
        <v>9</v>
      </c>
      <c r="E46" s="12" t="s">
        <v>143</v>
      </c>
      <c r="F46" s="14">
        <v>4</v>
      </c>
    </row>
    <row r="47" spans="1:6" x14ac:dyDescent="0.3">
      <c r="A47" s="12" t="s">
        <v>235</v>
      </c>
      <c r="B47" s="12" t="s">
        <v>236</v>
      </c>
      <c r="C47" s="14">
        <v>3</v>
      </c>
      <c r="D47" s="14">
        <v>10</v>
      </c>
      <c r="E47" s="12" t="s">
        <v>202</v>
      </c>
      <c r="F47" s="14">
        <v>3</v>
      </c>
    </row>
    <row r="48" spans="1:6" x14ac:dyDescent="0.3">
      <c r="A48" s="12" t="s">
        <v>237</v>
      </c>
      <c r="B48" s="12" t="s">
        <v>238</v>
      </c>
      <c r="C48" s="14">
        <v>3</v>
      </c>
      <c r="D48" s="14">
        <v>10</v>
      </c>
      <c r="E48" s="12" t="s">
        <v>202</v>
      </c>
      <c r="F48" s="14">
        <v>3</v>
      </c>
    </row>
    <row r="49" spans="1:6" x14ac:dyDescent="0.3">
      <c r="A49" s="12" t="s">
        <v>239</v>
      </c>
      <c r="B49" s="12" t="s">
        <v>240</v>
      </c>
      <c r="C49" s="14">
        <v>2</v>
      </c>
      <c r="D49" s="14">
        <v>10</v>
      </c>
      <c r="E49" s="12" t="s">
        <v>173</v>
      </c>
      <c r="F49" s="14">
        <v>2</v>
      </c>
    </row>
    <row r="50" spans="1:6" x14ac:dyDescent="0.3">
      <c r="A50" s="12" t="s">
        <v>241</v>
      </c>
      <c r="B50" s="12" t="s">
        <v>242</v>
      </c>
      <c r="C50" s="14">
        <v>3</v>
      </c>
      <c r="D50" s="14">
        <v>10</v>
      </c>
      <c r="E50" s="12" t="s">
        <v>166</v>
      </c>
      <c r="F50" s="14">
        <v>3</v>
      </c>
    </row>
    <row r="51" spans="1:6" x14ac:dyDescent="0.3">
      <c r="A51" s="12" t="s">
        <v>243</v>
      </c>
      <c r="B51" s="12" t="s">
        <v>244</v>
      </c>
      <c r="C51" s="14">
        <v>4</v>
      </c>
      <c r="D51" s="14">
        <v>10</v>
      </c>
      <c r="E51" s="12" t="s">
        <v>143</v>
      </c>
      <c r="F51" s="14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CED8-2D48-4507-8869-141E9734D359}">
  <dimension ref="C1:L15"/>
  <sheetViews>
    <sheetView zoomScale="142" workbookViewId="0">
      <selection activeCell="K10" sqref="K10:L15"/>
    </sheetView>
  </sheetViews>
  <sheetFormatPr defaultRowHeight="14.4" x14ac:dyDescent="0.3"/>
  <cols>
    <col min="3" max="3" width="14.6640625" bestFit="1" customWidth="1"/>
    <col min="4" max="4" width="10.21875" bestFit="1" customWidth="1"/>
    <col min="7" max="7" width="12.44140625" bestFit="1" customWidth="1"/>
    <col min="8" max="8" width="10.33203125" bestFit="1" customWidth="1"/>
    <col min="11" max="11" width="15" customWidth="1"/>
    <col min="12" max="12" width="11.109375" customWidth="1"/>
  </cols>
  <sheetData>
    <row r="1" spans="3:12" x14ac:dyDescent="0.3">
      <c r="C1" s="5" t="s">
        <v>6</v>
      </c>
      <c r="D1" s="6"/>
      <c r="G1" s="4" t="s">
        <v>26</v>
      </c>
      <c r="H1" s="4"/>
      <c r="K1" s="4" t="s">
        <v>18</v>
      </c>
      <c r="L1" s="4"/>
    </row>
    <row r="2" spans="3:12" x14ac:dyDescent="0.3">
      <c r="C2" s="10" t="s">
        <v>3</v>
      </c>
      <c r="D2" t="s">
        <v>7</v>
      </c>
      <c r="G2" s="8" t="s">
        <v>3</v>
      </c>
      <c r="H2" t="s">
        <v>7</v>
      </c>
      <c r="K2" s="11" t="s">
        <v>3</v>
      </c>
      <c r="L2" s="2" t="s">
        <v>7</v>
      </c>
    </row>
    <row r="3" spans="3:12" x14ac:dyDescent="0.3">
      <c r="C3" s="3" t="s">
        <v>0</v>
      </c>
      <c r="D3" t="s">
        <v>7</v>
      </c>
      <c r="G3" s="10" t="s">
        <v>12</v>
      </c>
      <c r="H3" t="s">
        <v>7</v>
      </c>
      <c r="K3" s="1" t="s">
        <v>15</v>
      </c>
      <c r="L3" s="2" t="s">
        <v>7</v>
      </c>
    </row>
    <row r="4" spans="3:12" x14ac:dyDescent="0.3">
      <c r="C4" s="3" t="s">
        <v>1</v>
      </c>
      <c r="D4" t="s">
        <v>8</v>
      </c>
      <c r="G4" s="11" t="s">
        <v>19</v>
      </c>
      <c r="H4" t="s">
        <v>7</v>
      </c>
      <c r="K4" s="1" t="s">
        <v>16</v>
      </c>
      <c r="L4" s="2" t="s">
        <v>7</v>
      </c>
    </row>
    <row r="5" spans="3:12" x14ac:dyDescent="0.3">
      <c r="C5" s="3" t="s">
        <v>2</v>
      </c>
      <c r="D5" t="s">
        <v>9</v>
      </c>
      <c r="G5" s="8" t="s">
        <v>10</v>
      </c>
      <c r="H5" s="9" t="s">
        <v>13</v>
      </c>
      <c r="K5" s="1" t="s">
        <v>17</v>
      </c>
      <c r="L5" s="2" t="s">
        <v>9</v>
      </c>
    </row>
    <row r="6" spans="3:12" x14ac:dyDescent="0.3">
      <c r="C6" s="3" t="s">
        <v>4</v>
      </c>
      <c r="D6" t="s">
        <v>9</v>
      </c>
      <c r="G6" s="8" t="s">
        <v>11</v>
      </c>
      <c r="H6" s="9" t="s">
        <v>14</v>
      </c>
      <c r="K6" s="7" t="s">
        <v>25</v>
      </c>
      <c r="L6" s="2" t="s">
        <v>7</v>
      </c>
    </row>
    <row r="7" spans="3:12" x14ac:dyDescent="0.3">
      <c r="C7" s="3" t="s">
        <v>5</v>
      </c>
      <c r="D7" t="s">
        <v>9</v>
      </c>
    </row>
    <row r="10" spans="3:12" x14ac:dyDescent="0.3">
      <c r="K10" s="4" t="s">
        <v>23</v>
      </c>
      <c r="L10" s="4"/>
    </row>
    <row r="11" spans="3:12" x14ac:dyDescent="0.3">
      <c r="K11" s="7" t="s">
        <v>3</v>
      </c>
      <c r="L11" s="2" t="s">
        <v>7</v>
      </c>
    </row>
    <row r="12" spans="3:12" x14ac:dyDescent="0.3">
      <c r="K12" s="1" t="s">
        <v>2</v>
      </c>
      <c r="L12" s="2" t="s">
        <v>9</v>
      </c>
    </row>
    <row r="13" spans="3:12" x14ac:dyDescent="0.3">
      <c r="K13" s="1" t="s">
        <v>20</v>
      </c>
      <c r="L13" s="2" t="s">
        <v>24</v>
      </c>
    </row>
    <row r="14" spans="3:12" x14ac:dyDescent="0.3">
      <c r="K14" s="1" t="s">
        <v>21</v>
      </c>
      <c r="L14" s="2" t="s">
        <v>24</v>
      </c>
    </row>
    <row r="15" spans="3:12" x14ac:dyDescent="0.3">
      <c r="K15" s="1" t="s">
        <v>22</v>
      </c>
      <c r="L15" s="2" t="s">
        <v>9</v>
      </c>
    </row>
  </sheetData>
  <mergeCells count="4">
    <mergeCell ref="C1:D1"/>
    <mergeCell ref="G1:H1"/>
    <mergeCell ref="K1:L1"/>
    <mergeCell ref="K10:L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estudiante</vt:lpstr>
      <vt:lpstr>matricula</vt:lpstr>
      <vt:lpstr>grupo</vt:lpstr>
      <vt:lpstr>asignatura</vt:lpstr>
      <vt:lpstr>model</vt:lpstr>
      <vt:lpstr>dato_asignatura</vt:lpstr>
      <vt:lpstr>dato_grupo</vt:lpstr>
      <vt:lpstr>grupo_id</vt:lpstr>
      <vt:lpstr>nombre_estudiante</vt:lpstr>
      <vt:lpstr>nombre_materia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Ariel  González Bonilla</dc:creator>
  <cp:lastModifiedBy>Jesus Ariel  González Bonilla</cp:lastModifiedBy>
  <dcterms:created xsi:type="dcterms:W3CDTF">2026-02-19T01:39:07Z</dcterms:created>
  <dcterms:modified xsi:type="dcterms:W3CDTF">2026-02-19T02:42:01Z</dcterms:modified>
</cp:coreProperties>
</file>